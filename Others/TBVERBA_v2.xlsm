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rive\003_Projetos_Automacao_Python\01_Ro_berto\Ro_berto_planb_3.37\"/>
    </mc:Choice>
  </mc:AlternateContent>
  <xr:revisionPtr revIDLastSave="0" documentId="13_ncr:1_{61B16F92-E1A9-44C0-85B6-8B719317483E}" xr6:coauthVersionLast="41" xr6:coauthVersionMax="47" xr10:uidLastSave="{00000000-0000-0000-0000-000000000000}"/>
  <bookViews>
    <workbookView xWindow="1080" yWindow="2340" windowWidth="27720" windowHeight="9690" firstSheet="4" activeTab="11" xr2:uid="{7A11A36D-A80C-413D-BD10-A880765F5A38}"/>
  </bookViews>
  <sheets>
    <sheet name="TBVERBA" sheetId="1" r:id="rId1"/>
    <sheet name="TBVERBAAJUSTE" sheetId="11" r:id="rId2"/>
    <sheet name="TBVERBACALCULO" sheetId="2" r:id="rId3"/>
    <sheet name="TBBASEHISTORICO" sheetId="8" r:id="rId4"/>
    <sheet name="TBBASEVERBA" sheetId="9" r:id="rId5"/>
    <sheet name="TBBASEDEDUCAO" sheetId="10" r:id="rId6"/>
    <sheet name="DADOS" sheetId="7" r:id="rId7"/>
    <sheet name="BASECALCULO" sheetId="13" r:id="rId8"/>
    <sheet name="BASECALCULOVALORPAGO" sheetId="15" r:id="rId9"/>
    <sheet name="TBNOMENCLATURA" sheetId="12" r:id="rId10"/>
    <sheet name="MySQL" sheetId="14" r:id="rId11"/>
    <sheet name="TBVERBABD" sheetId="16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10" i="16" l="1"/>
  <c r="U110" i="16"/>
  <c r="V2" i="16" l="1"/>
  <c r="U2" i="16"/>
  <c r="AE103" i="1" l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Z103" i="1" l="1"/>
  <c r="AA103" i="1"/>
  <c r="AB103" i="1"/>
  <c r="AC103" i="1"/>
  <c r="AD103" i="1"/>
  <c r="W103" i="1"/>
  <c r="X103" i="1"/>
  <c r="Y103" i="1"/>
  <c r="U103" i="1"/>
  <c r="V103" i="1"/>
  <c r="P103" i="1"/>
  <c r="Q103" i="1"/>
  <c r="R103" i="1"/>
  <c r="S103" i="1"/>
  <c r="T103" i="1"/>
  <c r="M103" i="1"/>
  <c r="N103" i="1"/>
  <c r="O103" i="1"/>
  <c r="G103" i="1"/>
  <c r="H103" i="1"/>
  <c r="I103" i="1"/>
  <c r="J103" i="1"/>
  <c r="K103" i="1"/>
  <c r="L103" i="1"/>
  <c r="C103" i="1"/>
  <c r="B103" i="1"/>
  <c r="A103" i="1"/>
  <c r="D103" i="1"/>
  <c r="E103" i="1"/>
  <c r="F103" i="1"/>
  <c r="V2" i="1" l="1"/>
  <c r="U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Fonseca</author>
    <author>José Roberto Santos</author>
  </authors>
  <commentList>
    <comment ref="F1" authorId="0" shapeId="0" xr:uid="{96567D01-7B67-4DB5-8A76-23AD50E7E2E3}">
      <text>
        <r>
          <rPr>
            <b/>
            <sz val="9"/>
            <color indexed="81"/>
            <rFont val="Segoe UI"/>
            <family val="2"/>
          </rPr>
          <t xml:space="preserve">Parcela
</t>
        </r>
        <r>
          <rPr>
            <sz val="9"/>
            <color indexed="81"/>
            <rFont val="Segoe UI"/>
            <family val="2"/>
          </rPr>
          <t>F: Fixa
V: Variável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G1" authorId="0" shapeId="0" xr:uid="{9B9E25FA-6C8B-4911-A8B8-3689E3A258BE}">
      <text>
        <r>
          <rPr>
            <b/>
            <sz val="9"/>
            <color indexed="81"/>
            <rFont val="Segoe UI"/>
            <charset val="1"/>
          </rPr>
          <t xml:space="preserve">Valor
</t>
        </r>
        <r>
          <rPr>
            <sz val="9"/>
            <color indexed="81"/>
            <rFont val="Segoe UI"/>
            <family val="2"/>
          </rPr>
          <t>C: Calculado
I: Informado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H1" authorId="0" shapeId="0" xr:uid="{5E01E553-1D0D-4369-93D0-785F5572E53D}">
      <text>
        <r>
          <rPr>
            <b/>
            <sz val="9"/>
            <color indexed="81"/>
            <rFont val="Segoe UI"/>
            <family val="2"/>
          </rPr>
          <t xml:space="preserve">Incidência INSS
</t>
        </r>
        <r>
          <rPr>
            <sz val="9"/>
            <color indexed="81"/>
            <rFont val="Segoe UI"/>
            <family val="2"/>
          </rPr>
          <t xml:space="preserve">S: Sim
N: Não
</t>
        </r>
      </text>
    </comment>
    <comment ref="I1" authorId="0" shapeId="0" xr:uid="{DBE7D3E0-B9F3-4D16-A00D-3660EE5EC20D}">
      <text>
        <r>
          <rPr>
            <b/>
            <sz val="9"/>
            <color indexed="81"/>
            <rFont val="Segoe UI"/>
            <family val="2"/>
          </rPr>
          <t xml:space="preserve">Incidência IRPF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J1" authorId="0" shapeId="0" xr:uid="{A4891A81-9C19-4E50-BD28-CC0D283C8E12}">
      <text>
        <r>
          <rPr>
            <b/>
            <sz val="9"/>
            <color indexed="81"/>
            <rFont val="Segoe UI"/>
            <family val="2"/>
          </rPr>
          <t xml:space="preserve">Incidência FGTS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K1" authorId="0" shapeId="0" xr:uid="{C02D8BBA-1C8B-459A-9E33-7B53C6EBEEBB}">
      <text>
        <r>
          <rPr>
            <b/>
            <sz val="9"/>
            <color indexed="81"/>
            <rFont val="Segoe UI"/>
            <family val="2"/>
          </rPr>
          <t xml:space="preserve">Incidência Previdência Privada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L1" authorId="0" shapeId="0" xr:uid="{1259C315-D970-40C0-A842-7AF219BBF8D4}">
      <text>
        <r>
          <rPr>
            <b/>
            <sz val="9"/>
            <color indexed="81"/>
            <rFont val="Segoe UI"/>
            <family val="2"/>
          </rPr>
          <t xml:space="preserve">Incidência Pensão Alimentícia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M1" authorId="0" shapeId="0" xr:uid="{AA34E310-659F-4A3E-870C-F140A2875764}">
      <text>
        <r>
          <rPr>
            <b/>
            <sz val="9"/>
            <color indexed="81"/>
            <rFont val="Segoe UI"/>
            <family val="2"/>
          </rPr>
          <t>Característica</t>
        </r>
        <r>
          <rPr>
            <sz val="9"/>
            <color indexed="81"/>
            <rFont val="Segoe UI"/>
            <family val="2"/>
          </rPr>
          <t xml:space="preserve">
AP: Aviso Prévio
DT: Décimo Terceiro
F: Férias
C: Comum</t>
        </r>
      </text>
    </comment>
    <comment ref="N1" authorId="1" shapeId="0" xr:uid="{5615D170-EF34-4595-9312-67F1DC277C6E}">
      <text>
        <r>
          <rPr>
            <b/>
            <sz val="9"/>
            <color indexed="81"/>
            <rFont val="Segoe UI"/>
            <family val="2"/>
          </rPr>
          <t xml:space="preserve">Ocorrência de Pagamento
</t>
        </r>
        <r>
          <rPr>
            <sz val="9"/>
            <color indexed="81"/>
            <rFont val="Segoe UI"/>
            <family val="2"/>
          </rPr>
          <t>M: Mensal
DL: Desligamento
DZ: Dezembro
PA: Período Aquisitivo</t>
        </r>
      </text>
    </comment>
    <comment ref="O1" authorId="0" shapeId="0" xr:uid="{A0655D79-E82A-4BB6-8EFD-5A4C08E44A1B}">
      <text>
        <r>
          <rPr>
            <b/>
            <sz val="9"/>
            <color indexed="81"/>
            <rFont val="Segoe UI"/>
            <family val="2"/>
          </rPr>
          <t xml:space="preserve">Juros - Aplicar Súmula nº 439 do TST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P1" authorId="0" shapeId="0" xr:uid="{22095C68-EE7A-4676-BAFA-0899D182EDCC}">
      <text>
        <r>
          <rPr>
            <b/>
            <sz val="9"/>
            <color indexed="81"/>
            <rFont val="Segoe UI"/>
            <family val="2"/>
          </rPr>
          <t xml:space="preserve">Tipo
</t>
        </r>
        <r>
          <rPr>
            <sz val="9"/>
            <color indexed="81"/>
            <rFont val="Segoe UI"/>
            <family val="2"/>
          </rPr>
          <t xml:space="preserve">P: Principal
R: Reflexo
</t>
        </r>
      </text>
    </comment>
    <comment ref="Q1" authorId="0" shapeId="0" xr:uid="{BE6DD980-4152-4E97-BE94-954142EF9EA2}">
      <text>
        <r>
          <rPr>
            <b/>
            <sz val="9"/>
            <color indexed="81"/>
            <rFont val="Segoe UI"/>
            <family val="2"/>
          </rPr>
          <t>Gerar Verba Reflexa</t>
        </r>
        <r>
          <rPr>
            <sz val="9"/>
            <color indexed="81"/>
            <rFont val="Segoe UI"/>
            <family val="2"/>
          </rPr>
          <t xml:space="preserve">
DV: Devido
DF: Diferença</t>
        </r>
      </text>
    </comment>
    <comment ref="R1" authorId="0" shapeId="0" xr:uid="{12D54351-BF55-4E92-A641-61C003CE2871}">
      <text>
        <r>
          <rPr>
            <b/>
            <sz val="9"/>
            <color indexed="81"/>
            <rFont val="Segoe UI"/>
            <family val="2"/>
          </rPr>
          <t>Gerar Verba Principal</t>
        </r>
        <r>
          <rPr>
            <sz val="9"/>
            <color indexed="81"/>
            <rFont val="Segoe UI"/>
            <family val="2"/>
          </rPr>
          <t xml:space="preserve">
DV: Devido
DF: Diferença</t>
        </r>
      </text>
    </comment>
    <comment ref="S1" authorId="0" shapeId="0" xr:uid="{7076FD25-0AB2-4D8B-881C-ED8712A3B691}">
      <text>
        <r>
          <rPr>
            <b/>
            <sz val="9"/>
            <color indexed="81"/>
            <rFont val="Segoe UI"/>
            <family val="2"/>
          </rPr>
          <t xml:space="preserve">Compor Principal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T1" authorId="0" shapeId="0" xr:uid="{B174F356-D192-4958-8C9A-8E5EA7F56134}">
      <text>
        <r>
          <rPr>
            <b/>
            <sz val="9"/>
            <color indexed="81"/>
            <rFont val="Segoe UI"/>
            <family val="2"/>
          </rPr>
          <t>Zerar valor Negativo:</t>
        </r>
        <r>
          <rPr>
            <sz val="9"/>
            <color indexed="81"/>
            <rFont val="Segoe UI"/>
            <family val="2"/>
          </rPr>
          <t xml:space="preserve">
S: Sim
N: Não</t>
        </r>
      </text>
    </comment>
    <comment ref="W1" authorId="0" shapeId="0" xr:uid="{F03A95F0-FEA1-486B-BB40-75C0E67C63D9}">
      <text>
        <r>
          <rPr>
            <b/>
            <sz val="9"/>
            <color indexed="81"/>
            <rFont val="Segoe UI"/>
            <family val="2"/>
          </rPr>
          <t xml:space="preserve">Excluir Faltas Justificadas
</t>
        </r>
        <r>
          <rPr>
            <sz val="9"/>
            <color indexed="81"/>
            <rFont val="Segoe UI"/>
            <family val="2"/>
          </rPr>
          <t>S: Sim 
N: Não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X1" authorId="0" shapeId="0" xr:uid="{31BAAE49-DDD7-4DDD-82F3-3D394DBC026F}">
      <text>
        <r>
          <rPr>
            <b/>
            <sz val="9"/>
            <color indexed="81"/>
            <rFont val="Segoe UI"/>
            <family val="2"/>
          </rPr>
          <t xml:space="preserve">Excluir Faltas Não Justificadas
</t>
        </r>
        <r>
          <rPr>
            <sz val="9"/>
            <color indexed="81"/>
            <rFont val="Segoe UI"/>
            <family val="2"/>
          </rPr>
          <t xml:space="preserve">S: Sim 
N: Não
</t>
        </r>
      </text>
    </comment>
    <comment ref="Y1" authorId="0" shapeId="0" xr:uid="{D14EE551-5F0D-4AB1-879E-4BA20B433B71}">
      <text>
        <r>
          <rPr>
            <b/>
            <sz val="9"/>
            <color indexed="81"/>
            <rFont val="Segoe UI"/>
            <family val="2"/>
          </rPr>
          <t xml:space="preserve">Excluir Férias Gozadas
</t>
        </r>
        <r>
          <rPr>
            <sz val="9"/>
            <color indexed="81"/>
            <rFont val="Segoe UI"/>
            <family val="2"/>
          </rPr>
          <t>S: Sim 
N: Não</t>
        </r>
      </text>
    </comment>
    <comment ref="Z1" authorId="0" shapeId="0" xr:uid="{AA87DE58-A7EA-42BF-A2AA-6516DFD32255}">
      <text>
        <r>
          <rPr>
            <b/>
            <sz val="9"/>
            <color indexed="81"/>
            <rFont val="Segoe UI"/>
            <family val="2"/>
          </rPr>
          <t xml:space="preserve">Dobrar Valor Devido
</t>
        </r>
        <r>
          <rPr>
            <sz val="9"/>
            <color indexed="81"/>
            <rFont val="Segoe UI"/>
            <family val="2"/>
          </rPr>
          <t xml:space="preserve">S: Sim 
N: Não
</t>
        </r>
      </text>
    </comment>
    <comment ref="AA1" authorId="0" shapeId="0" xr:uid="{62608E6F-EB29-4B1C-BCD3-9C431E59FF59}">
      <text>
        <r>
          <rPr>
            <b/>
            <sz val="9"/>
            <color indexed="81"/>
            <rFont val="Segoe UI"/>
            <family val="2"/>
          </rPr>
          <t xml:space="preserve">Valor Devido se o valor do verba for Informado.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B1" authorId="0" shapeId="0" xr:uid="{49D50679-F4A4-47B5-9126-56866C29210C}">
      <text>
        <r>
          <rPr>
            <b/>
            <sz val="9"/>
            <color indexed="81"/>
            <rFont val="Segoe UI"/>
            <family val="2"/>
          </rPr>
          <t>Proporcionalizar</t>
        </r>
        <r>
          <rPr>
            <sz val="9"/>
            <color indexed="81"/>
            <rFont val="Segoe UI"/>
            <family val="2"/>
          </rPr>
          <t xml:space="preserve">
S: Sim 
N: Não</t>
        </r>
      </text>
    </comment>
    <comment ref="AC1" authorId="0" shapeId="0" xr:uid="{8EC46C05-30B1-4E5F-8D0E-9162D0A8B71C}">
      <text>
        <r>
          <rPr>
            <b/>
            <sz val="9"/>
            <color indexed="81"/>
            <rFont val="Segoe UI"/>
            <family val="2"/>
          </rPr>
          <t xml:space="preserve">Bases Cadastradas
</t>
        </r>
        <r>
          <rPr>
            <sz val="9"/>
            <color indexed="81"/>
            <rFont val="Segoe UI"/>
            <family val="2"/>
          </rPr>
          <t xml:space="preserve">MR: Maior Remuneração
HS: Histórico Salarial
PS: Piso Salarial
SM: Salário Mínimo
VT: Vale Transporte
</t>
        </r>
      </text>
    </comment>
    <comment ref="AD1" authorId="0" shapeId="0" xr:uid="{D2081E07-8492-44C1-B2A7-0A0379D82C66}">
      <text>
        <r>
          <rPr>
            <b/>
            <sz val="9"/>
            <color indexed="81"/>
            <rFont val="Segoe UI"/>
            <family val="2"/>
          </rPr>
          <t xml:space="preserve">Divisor
</t>
        </r>
        <r>
          <rPr>
            <sz val="9"/>
            <color indexed="81"/>
            <rFont val="Segoe UI"/>
            <family val="2"/>
          </rPr>
          <t>IN: Informado
CH: Carga Horária
DU: Dias Úteis
ICP: Importada do Cartão de Ponto</t>
        </r>
      </text>
    </comment>
    <comment ref="AE1" authorId="0" shapeId="0" xr:uid="{1494C351-42D9-447A-9A66-9ED2C1B1E43B}">
      <text>
        <r>
          <rPr>
            <b/>
            <sz val="9"/>
            <color indexed="81"/>
            <rFont val="Segoe UI"/>
            <family val="2"/>
          </rPr>
          <t>Se o divisor for informado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F1" authorId="0" shapeId="0" xr:uid="{30AB9E15-1A37-4FD2-B859-E47DC1611200}">
      <text>
        <r>
          <rPr>
            <sz val="9"/>
            <color indexed="81"/>
            <rFont val="Segoe UI"/>
            <family val="2"/>
          </rPr>
          <t>Valor do Multiplicador da Verba.</t>
        </r>
      </text>
    </comment>
    <comment ref="AG1" authorId="0" shapeId="0" xr:uid="{6ED57195-DB85-40C0-8692-5CC0CC57DA8E}">
      <text>
        <r>
          <rPr>
            <b/>
            <sz val="9"/>
            <color indexed="81"/>
            <rFont val="Segoe UI"/>
            <family val="2"/>
          </rPr>
          <t xml:space="preserve">Quantidade
</t>
        </r>
        <r>
          <rPr>
            <sz val="9"/>
            <color indexed="81"/>
            <rFont val="Segoe UI"/>
            <family val="2"/>
          </rPr>
          <t xml:space="preserve">Tipo de Quantidade da Verba
IN: Informada
ICL: Importada do Calendário 
ICP: Importada do Cartão de Ponto
AV: Avos
</t>
        </r>
      </text>
    </comment>
    <comment ref="AH1" authorId="0" shapeId="0" xr:uid="{D504FF4B-E925-4CAF-926E-9CD413B11D6D}">
      <text>
        <r>
          <rPr>
            <b/>
            <sz val="9"/>
            <color indexed="81"/>
            <rFont val="Segoe UI"/>
            <family val="2"/>
          </rPr>
          <t>Calendário</t>
        </r>
        <r>
          <rPr>
            <sz val="9"/>
            <color indexed="81"/>
            <rFont val="Segoe UI"/>
            <family val="2"/>
          </rPr>
          <t xml:space="preserve">
Para Tipo de Quantidade ICL. 
R: Repousos
F: Feriados
RF: Repousos e Feriados
DU: Dias Úteis</t>
        </r>
      </text>
    </comment>
    <comment ref="AI1" authorId="0" shapeId="0" xr:uid="{EC89893F-DCF7-4794-ABEC-500F9F2EF67D}">
      <text>
        <r>
          <rPr>
            <b/>
            <sz val="9"/>
            <color indexed="81"/>
            <rFont val="Segoe UI"/>
            <family val="2"/>
          </rPr>
          <t xml:space="preserve">OUTRA TABELA
Cartão de Ponto
</t>
        </r>
        <r>
          <rPr>
            <sz val="9"/>
            <color indexed="81"/>
            <rFont val="Segoe UI"/>
            <family val="2"/>
          </rPr>
          <t>Para Tipo de Quantidade ICP
HED: Horas Extras Diurnas
HEN: Horas Extras Noturnas 
HEDN: Horas Extras Diurnas e Noturnas
HN: Horas Noturnas
R: Repousos
F: Feriados
RF: Repousos e Feriados
ITRA: Intrajornada
ITER: Interjornada</t>
        </r>
      </text>
    </comment>
    <comment ref="AJ1" authorId="0" shapeId="0" xr:uid="{FAD5A8EC-F349-4E65-9983-067BC0273289}">
      <text>
        <r>
          <rPr>
            <b/>
            <sz val="9"/>
            <color indexed="81"/>
            <rFont val="Segoe UI"/>
            <family val="2"/>
          </rPr>
          <t>Outro Valor</t>
        </r>
        <r>
          <rPr>
            <sz val="9"/>
            <color indexed="81"/>
            <rFont val="Segoe UI"/>
            <family val="2"/>
          </rPr>
          <t xml:space="preserve">
Para Tipo de Quantidade IN. Valor Número Digitável.</t>
        </r>
      </text>
    </comment>
    <comment ref="AK1" authorId="0" shapeId="0" xr:uid="{28044118-2D72-4E14-94EB-45FDF630F58F}">
      <text>
        <r>
          <rPr>
            <b/>
            <sz val="9"/>
            <color indexed="81"/>
            <rFont val="Segoe UI"/>
            <family val="2"/>
          </rPr>
          <t>Proporcionalizar Quantidade</t>
        </r>
        <r>
          <rPr>
            <sz val="9"/>
            <color indexed="81"/>
            <rFont val="Segoe UI"/>
            <family val="2"/>
          </rPr>
          <t xml:space="preserve">
S: Sim 
N: Não</t>
        </r>
      </text>
    </comment>
    <comment ref="AL1" authorId="0" shapeId="0" xr:uid="{EC5B7B8E-1DBA-4204-BD34-075895840990}">
      <text>
        <r>
          <rPr>
            <b/>
            <sz val="9"/>
            <color indexed="81"/>
            <rFont val="Segoe UI"/>
            <family val="2"/>
          </rPr>
          <t>Valor Pago</t>
        </r>
        <r>
          <rPr>
            <sz val="9"/>
            <color indexed="81"/>
            <rFont val="Segoe UI"/>
            <family val="2"/>
          </rPr>
          <t xml:space="preserve">
I: Informado
C: Calculado</t>
        </r>
      </text>
    </comment>
    <comment ref="AM1" authorId="0" shapeId="0" xr:uid="{040A9446-838A-4E48-96EA-00FD3DFD1EA3}">
      <text>
        <r>
          <rPr>
            <b/>
            <sz val="9"/>
            <color indexed="81"/>
            <rFont val="Segoe UI"/>
            <family val="2"/>
          </rPr>
          <t xml:space="preserve">Bases Cadastradas
</t>
        </r>
        <r>
          <rPr>
            <sz val="9"/>
            <color indexed="81"/>
            <rFont val="Segoe UI"/>
            <family val="2"/>
          </rPr>
          <t xml:space="preserve">MR: Maior Remuneração
HS: Histórico Salarial
PS: Piso Salarial
SM: Salário Mínimo
VT: Vale Transporte
</t>
        </r>
      </text>
    </comment>
    <comment ref="AN1" authorId="0" shapeId="0" xr:uid="{C802FB2D-9765-47EE-937E-BB7ABE0711F6}">
      <text>
        <r>
          <rPr>
            <b/>
            <sz val="9"/>
            <color indexed="81"/>
            <rFont val="Segoe UI"/>
            <family val="2"/>
          </rPr>
          <t>Valor informado.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O1" authorId="0" shapeId="0" xr:uid="{2091BAEA-7D75-4E08-B2D8-67E06CA9651B}">
      <text>
        <r>
          <rPr>
            <b/>
            <sz val="9"/>
            <color indexed="81"/>
            <rFont val="Segoe UI"/>
            <family val="2"/>
          </rPr>
          <t>Indica se deve ser aplicada a proporcionalidade para o valor pago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P1" authorId="0" shapeId="0" xr:uid="{418779D0-0534-4F8E-95DF-D264CD485596}">
      <text>
        <r>
          <rPr>
            <b/>
            <sz val="9"/>
            <color indexed="81"/>
            <rFont val="Segoe UI"/>
            <family val="2"/>
          </rPr>
          <t>Quantidade informada.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R1" authorId="0" shapeId="0" xr:uid="{CE7DC214-FF69-4C55-BF30-39D91EB2B19B}">
      <text>
        <r>
          <rPr>
            <b/>
            <sz val="9"/>
            <color indexed="81"/>
            <rFont val="Segoe UI"/>
            <family val="2"/>
          </rPr>
          <t xml:space="preserve">Repercussão 13º Salário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S1" authorId="0" shapeId="0" xr:uid="{79B9846C-1FDE-4EEC-A2C3-98FF3B5A3EF2}">
      <text>
        <r>
          <rPr>
            <b/>
            <sz val="9"/>
            <color indexed="81"/>
            <rFont val="Segoe UI"/>
            <family val="2"/>
          </rPr>
          <t xml:space="preserve">Repercussão Férias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T1" authorId="0" shapeId="0" xr:uid="{C3F395BC-74C7-44A2-9031-C3E684E1829B}">
      <text>
        <r>
          <rPr>
            <b/>
            <sz val="9"/>
            <color indexed="81"/>
            <rFont val="Segoe UI"/>
            <family val="2"/>
          </rPr>
          <t xml:space="preserve">Repercussão Aviso Prévio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U1" authorId="0" shapeId="0" xr:uid="{7D9B5CEB-0FCE-4940-89D8-F6194108D38D}">
      <text>
        <r>
          <rPr>
            <b/>
            <sz val="9"/>
            <color indexed="81"/>
            <rFont val="Segoe UI"/>
            <family val="2"/>
          </rPr>
          <t xml:space="preserve">Repercussão Repouso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V1" authorId="0" shapeId="0" xr:uid="{12CDF15A-638B-42E7-8EF4-9E40DAD24388}">
      <text>
        <r>
          <rPr>
            <b/>
            <sz val="9"/>
            <color indexed="81"/>
            <rFont val="Segoe UI"/>
            <family val="2"/>
          </rPr>
          <t xml:space="preserve">Repercussão Multa Artigo 477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W1" authorId="0" shapeId="0" xr:uid="{A20E5FF2-6071-4FDF-BE9F-5CC4CCC75525}">
      <text>
        <r>
          <rPr>
            <b/>
            <sz val="9"/>
            <color indexed="81"/>
            <rFont val="Segoe UI"/>
            <family val="2"/>
          </rPr>
          <t xml:space="preserve">Comportamento Reflexo
</t>
        </r>
        <r>
          <rPr>
            <sz val="9"/>
            <color indexed="81"/>
            <rFont val="Segoe UI"/>
            <family val="2"/>
          </rPr>
          <t>VM: Valor Mensal
MA: Média Pelo Valor Absoluto
MC: Média Pelo Valor Corrigido
MQ: Média Pela Quantidade</t>
        </r>
      </text>
    </comment>
    <comment ref="AX1" authorId="0" shapeId="0" xr:uid="{80184EDC-1346-462A-8309-A6CF00F18B6A}">
      <text>
        <r>
          <rPr>
            <b/>
            <sz val="9"/>
            <color indexed="81"/>
            <rFont val="Segoe UI"/>
            <family val="2"/>
          </rPr>
          <t>Período da Média</t>
        </r>
        <r>
          <rPr>
            <sz val="9"/>
            <color indexed="81"/>
            <rFont val="Segoe UI"/>
            <family val="2"/>
          </rPr>
          <t xml:space="preserve">
PA: Período Aquisitivo 
AC: Ano Civil
DM: Últimos Doze Meses do Contrato
DV: Doze Meses Anteriores as Vencimento da Verba</t>
        </r>
      </text>
    </comment>
    <comment ref="AY1" authorId="0" shapeId="0" xr:uid="{ABCD7D36-419D-4C10-8CBC-D0F981B00A5D}">
      <text>
        <r>
          <rPr>
            <b/>
            <sz val="9"/>
            <color indexed="81"/>
            <rFont val="Segoe UI"/>
            <family val="2"/>
          </rPr>
          <t>Tratamento da Fração de Mês</t>
        </r>
        <r>
          <rPr>
            <sz val="9"/>
            <color indexed="81"/>
            <rFont val="Segoe UI"/>
            <family val="2"/>
          </rPr>
          <t xml:space="preserve">
M: Manter 
I: Integralizar
D: Desprezar
DMQ: Desprezar Menor que 15 Dias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Fonseca</author>
    <author>José Roberto Santos</author>
  </authors>
  <commentList>
    <comment ref="A6" authorId="0" shapeId="0" xr:uid="{7335685A-B160-4220-9D37-BFFA9A800219}">
      <text>
        <r>
          <rPr>
            <b/>
            <sz val="9"/>
            <color indexed="81"/>
            <rFont val="Segoe UI"/>
            <family val="2"/>
          </rPr>
          <t xml:space="preserve">Parcela
</t>
        </r>
        <r>
          <rPr>
            <sz val="9"/>
            <color indexed="81"/>
            <rFont val="Segoe UI"/>
            <family val="2"/>
          </rPr>
          <t>F: Fixa
V: Variável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7" authorId="0" shapeId="0" xr:uid="{DC9B9F1C-B645-46A5-B196-E37F71AB74B4}">
      <text>
        <r>
          <rPr>
            <b/>
            <sz val="9"/>
            <color indexed="81"/>
            <rFont val="Segoe UI"/>
            <charset val="1"/>
          </rPr>
          <t xml:space="preserve">Valor
</t>
        </r>
        <r>
          <rPr>
            <sz val="9"/>
            <color indexed="81"/>
            <rFont val="Segoe UI"/>
            <family val="2"/>
          </rPr>
          <t>C: Calculado
I: Informado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A8" authorId="0" shapeId="0" xr:uid="{6E877391-7409-4DB6-995D-F77265B400B4}">
      <text>
        <r>
          <rPr>
            <b/>
            <sz val="9"/>
            <color indexed="81"/>
            <rFont val="Segoe UI"/>
            <family val="2"/>
          </rPr>
          <t xml:space="preserve">Incidência INSS
</t>
        </r>
        <r>
          <rPr>
            <sz val="9"/>
            <color indexed="81"/>
            <rFont val="Segoe UI"/>
            <family val="2"/>
          </rPr>
          <t xml:space="preserve">S: Sim
N: Não
</t>
        </r>
      </text>
    </comment>
    <comment ref="A9" authorId="0" shapeId="0" xr:uid="{A6530E80-2212-4FAB-8F19-07F1C66A7551}">
      <text>
        <r>
          <rPr>
            <b/>
            <sz val="9"/>
            <color indexed="81"/>
            <rFont val="Segoe UI"/>
            <family val="2"/>
          </rPr>
          <t xml:space="preserve">Incidência IRPF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10" authorId="0" shapeId="0" xr:uid="{0E6636E1-D065-4430-8014-1A3801D86941}">
      <text>
        <r>
          <rPr>
            <b/>
            <sz val="9"/>
            <color indexed="81"/>
            <rFont val="Segoe UI"/>
            <family val="2"/>
          </rPr>
          <t xml:space="preserve">Incidência FGTS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11" authorId="0" shapeId="0" xr:uid="{85E1FA92-E1CC-4E51-825F-A06232212A15}">
      <text>
        <r>
          <rPr>
            <b/>
            <sz val="9"/>
            <color indexed="81"/>
            <rFont val="Segoe UI"/>
            <family val="2"/>
          </rPr>
          <t xml:space="preserve">Incidência Previdência Privada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12" authorId="0" shapeId="0" xr:uid="{68C4BD23-C857-4CFE-B520-35F0A61D27D7}">
      <text>
        <r>
          <rPr>
            <b/>
            <sz val="9"/>
            <color indexed="81"/>
            <rFont val="Segoe UI"/>
            <family val="2"/>
          </rPr>
          <t xml:space="preserve">Incidência Pensão Alimentícia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13" authorId="0" shapeId="0" xr:uid="{76C3AEC8-39EC-4B1C-84BC-8CDCE3782BED}">
      <text>
        <r>
          <rPr>
            <b/>
            <sz val="9"/>
            <color indexed="81"/>
            <rFont val="Segoe UI"/>
            <family val="2"/>
          </rPr>
          <t>Característica</t>
        </r>
        <r>
          <rPr>
            <sz val="9"/>
            <color indexed="81"/>
            <rFont val="Segoe UI"/>
            <family val="2"/>
          </rPr>
          <t xml:space="preserve">
AP: Aviso Prévio
DT: Décimo Terceiro
F: Férias
C: Comum</t>
        </r>
      </text>
    </comment>
    <comment ref="A14" authorId="1" shapeId="0" xr:uid="{700E63A8-6C45-43D7-88B4-31E189FECCDF}">
      <text>
        <r>
          <rPr>
            <b/>
            <sz val="9"/>
            <color indexed="81"/>
            <rFont val="Segoe UI"/>
            <family val="2"/>
          </rPr>
          <t xml:space="preserve">Ocorrência de Pagamento
</t>
        </r>
        <r>
          <rPr>
            <sz val="9"/>
            <color indexed="81"/>
            <rFont val="Segoe UI"/>
            <family val="2"/>
          </rPr>
          <t>M: Mensal
DL: Desligamento
DZ: Dezembro
PA: Período Aquisitivo</t>
        </r>
      </text>
    </comment>
    <comment ref="A15" authorId="0" shapeId="0" xr:uid="{4726E790-2E14-44AD-9367-E71F6F1563A8}">
      <text>
        <r>
          <rPr>
            <b/>
            <sz val="9"/>
            <color indexed="81"/>
            <rFont val="Segoe UI"/>
            <family val="2"/>
          </rPr>
          <t xml:space="preserve">Juros - Aplicar Súmula nº 439 do TST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16" authorId="0" shapeId="0" xr:uid="{C81DE2E7-384A-4C44-8E37-96F53CC7EE82}">
      <text>
        <r>
          <rPr>
            <b/>
            <sz val="9"/>
            <color indexed="81"/>
            <rFont val="Segoe UI"/>
            <family val="2"/>
          </rPr>
          <t xml:space="preserve">Tipo
</t>
        </r>
        <r>
          <rPr>
            <sz val="9"/>
            <color indexed="81"/>
            <rFont val="Segoe UI"/>
            <family val="2"/>
          </rPr>
          <t xml:space="preserve">P: Principal
R: Reflexo
</t>
        </r>
      </text>
    </comment>
    <comment ref="A17" authorId="0" shapeId="0" xr:uid="{098AABAD-285C-4A26-AD0C-083C84A3A1AA}">
      <text>
        <r>
          <rPr>
            <b/>
            <sz val="9"/>
            <color indexed="81"/>
            <rFont val="Segoe UI"/>
            <family val="2"/>
          </rPr>
          <t>Gerar Verba Reflexa</t>
        </r>
        <r>
          <rPr>
            <sz val="9"/>
            <color indexed="81"/>
            <rFont val="Segoe UI"/>
            <family val="2"/>
          </rPr>
          <t xml:space="preserve">
DV: Devido
DF: Diferença</t>
        </r>
      </text>
    </comment>
    <comment ref="A18" authorId="0" shapeId="0" xr:uid="{D879799D-43FD-44C5-B313-ECD7CEB5CC6E}">
      <text>
        <r>
          <rPr>
            <b/>
            <sz val="9"/>
            <color indexed="81"/>
            <rFont val="Segoe UI"/>
            <family val="2"/>
          </rPr>
          <t>Gerar Verba Principal</t>
        </r>
        <r>
          <rPr>
            <sz val="9"/>
            <color indexed="81"/>
            <rFont val="Segoe UI"/>
            <family val="2"/>
          </rPr>
          <t xml:space="preserve">
DV: Devido
DF: Diferença</t>
        </r>
      </text>
    </comment>
    <comment ref="A19" authorId="0" shapeId="0" xr:uid="{F5629DBC-8388-47C0-B320-6057BED5BEDC}">
      <text>
        <r>
          <rPr>
            <b/>
            <sz val="9"/>
            <color indexed="81"/>
            <rFont val="Segoe UI"/>
            <family val="2"/>
          </rPr>
          <t xml:space="preserve">Compor Principal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20" authorId="0" shapeId="0" xr:uid="{537E0E43-3C82-4326-87FA-20E6BC27D5FF}">
      <text>
        <r>
          <rPr>
            <b/>
            <sz val="9"/>
            <color indexed="81"/>
            <rFont val="Segoe UI"/>
            <family val="2"/>
          </rPr>
          <t>Zerar valor Negativo:</t>
        </r>
        <r>
          <rPr>
            <sz val="9"/>
            <color indexed="81"/>
            <rFont val="Segoe UI"/>
            <family val="2"/>
          </rPr>
          <t xml:space="preserve">
S: Sim
N: Não</t>
        </r>
      </text>
    </comment>
    <comment ref="A23" authorId="0" shapeId="0" xr:uid="{9F8FB7D3-5680-44DE-BB98-0C4073CE2869}">
      <text>
        <r>
          <rPr>
            <b/>
            <sz val="9"/>
            <color indexed="81"/>
            <rFont val="Segoe UI"/>
            <family val="2"/>
          </rPr>
          <t xml:space="preserve">Excluir Faltas Justificadas
</t>
        </r>
        <r>
          <rPr>
            <sz val="9"/>
            <color indexed="81"/>
            <rFont val="Segoe UI"/>
            <family val="2"/>
          </rPr>
          <t>S: Sim 
N: Não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24" authorId="0" shapeId="0" xr:uid="{1F44922E-1A8A-4647-9E93-B0026B456EE0}">
      <text>
        <r>
          <rPr>
            <b/>
            <sz val="9"/>
            <color indexed="81"/>
            <rFont val="Segoe UI"/>
            <family val="2"/>
          </rPr>
          <t xml:space="preserve">Excluir Faltas Não Justificadas
</t>
        </r>
        <r>
          <rPr>
            <sz val="9"/>
            <color indexed="81"/>
            <rFont val="Segoe UI"/>
            <family val="2"/>
          </rPr>
          <t xml:space="preserve">S: Sim 
N: Não
</t>
        </r>
      </text>
    </comment>
    <comment ref="A25" authorId="0" shapeId="0" xr:uid="{DA317082-9BD2-482E-AFCC-F9893A617D92}">
      <text>
        <r>
          <rPr>
            <b/>
            <sz val="9"/>
            <color indexed="81"/>
            <rFont val="Segoe UI"/>
            <family val="2"/>
          </rPr>
          <t xml:space="preserve">Excluir Férias Gozadas
</t>
        </r>
        <r>
          <rPr>
            <sz val="9"/>
            <color indexed="81"/>
            <rFont val="Segoe UI"/>
            <family val="2"/>
          </rPr>
          <t>S: Sim 
N: Não</t>
        </r>
      </text>
    </comment>
    <comment ref="A26" authorId="0" shapeId="0" xr:uid="{F100B281-F024-448A-8F46-879434CCF356}">
      <text>
        <r>
          <rPr>
            <b/>
            <sz val="9"/>
            <color indexed="81"/>
            <rFont val="Segoe UI"/>
            <family val="2"/>
          </rPr>
          <t xml:space="preserve">Dobrar Valor Devido
</t>
        </r>
        <r>
          <rPr>
            <sz val="9"/>
            <color indexed="81"/>
            <rFont val="Segoe UI"/>
            <family val="2"/>
          </rPr>
          <t xml:space="preserve">S: Sim 
N: Não
</t>
        </r>
      </text>
    </comment>
    <comment ref="A27" authorId="0" shapeId="0" xr:uid="{6B6EE202-A602-467E-A1AE-062B3E6A2943}">
      <text>
        <r>
          <rPr>
            <b/>
            <sz val="9"/>
            <color indexed="81"/>
            <rFont val="Segoe UI"/>
            <family val="2"/>
          </rPr>
          <t xml:space="preserve">Valor Devido se o valor do verba for Informado.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28" authorId="0" shapeId="0" xr:uid="{D9EEF859-CD4E-486D-94DB-27717B0BFEDB}">
      <text>
        <r>
          <rPr>
            <b/>
            <sz val="9"/>
            <color indexed="81"/>
            <rFont val="Segoe UI"/>
            <family val="2"/>
          </rPr>
          <t>Proporcionalizar</t>
        </r>
        <r>
          <rPr>
            <sz val="9"/>
            <color indexed="81"/>
            <rFont val="Segoe UI"/>
            <family val="2"/>
          </rPr>
          <t xml:space="preserve">
S: Sim 
N: Não</t>
        </r>
      </text>
    </comment>
    <comment ref="A29" authorId="0" shapeId="0" xr:uid="{4594A9CA-967D-4230-9B02-EBD4205CB378}">
      <text>
        <r>
          <rPr>
            <b/>
            <sz val="9"/>
            <color indexed="81"/>
            <rFont val="Segoe UI"/>
            <family val="2"/>
          </rPr>
          <t xml:space="preserve">Bases Cadastradas
</t>
        </r>
        <r>
          <rPr>
            <sz val="9"/>
            <color indexed="81"/>
            <rFont val="Segoe UI"/>
            <family val="2"/>
          </rPr>
          <t xml:space="preserve">MR: Maior Remuneração
HS: Histórico Salarial
PS: Piso Salarial
SM: Salário Mínimo
VT: Vale Transporte
</t>
        </r>
      </text>
    </comment>
    <comment ref="A30" authorId="0" shapeId="0" xr:uid="{1928C367-26D6-43A8-9BED-FF974024215F}">
      <text>
        <r>
          <rPr>
            <b/>
            <sz val="9"/>
            <color indexed="81"/>
            <rFont val="Segoe UI"/>
            <family val="2"/>
          </rPr>
          <t xml:space="preserve">Divisor
</t>
        </r>
        <r>
          <rPr>
            <sz val="9"/>
            <color indexed="81"/>
            <rFont val="Segoe UI"/>
            <family val="2"/>
          </rPr>
          <t>IN: Informado
CH: Carga Horária
DU: Dias Úteis
ICP: Importada do Cartão de Ponto</t>
        </r>
      </text>
    </comment>
    <comment ref="A31" authorId="0" shapeId="0" xr:uid="{41F35928-CE7C-451A-9CC2-3391C7115EA6}">
      <text>
        <r>
          <rPr>
            <b/>
            <sz val="9"/>
            <color indexed="81"/>
            <rFont val="Segoe UI"/>
            <family val="2"/>
          </rPr>
          <t>Se o divisor for informado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32" authorId="0" shapeId="0" xr:uid="{6F31BB17-E0C0-4A7C-A26A-E3506D23B371}">
      <text>
        <r>
          <rPr>
            <sz val="9"/>
            <color indexed="81"/>
            <rFont val="Segoe UI"/>
            <family val="2"/>
          </rPr>
          <t>Valor do Multiplicador da Verba.</t>
        </r>
      </text>
    </comment>
    <comment ref="A33" authorId="0" shapeId="0" xr:uid="{A248833D-85D6-4882-A5F0-E0F8DB41F01C}">
      <text>
        <r>
          <rPr>
            <b/>
            <sz val="9"/>
            <color indexed="81"/>
            <rFont val="Segoe UI"/>
            <family val="2"/>
          </rPr>
          <t xml:space="preserve">Quantidade
</t>
        </r>
        <r>
          <rPr>
            <sz val="9"/>
            <color indexed="81"/>
            <rFont val="Segoe UI"/>
            <family val="2"/>
          </rPr>
          <t>Tipo de Quantidade da Verba
IN: Informada
ICL: Importada do Calendário 
ICP: Importada do Cartão de Ponto
AV: Avos</t>
        </r>
      </text>
    </comment>
    <comment ref="A34" authorId="0" shapeId="0" xr:uid="{D42693CA-BDA1-4FAC-8F1E-ABFA2AD0DBE9}">
      <text>
        <r>
          <rPr>
            <b/>
            <sz val="9"/>
            <color indexed="81"/>
            <rFont val="Segoe UI"/>
            <family val="2"/>
          </rPr>
          <t>Calendário</t>
        </r>
        <r>
          <rPr>
            <sz val="9"/>
            <color indexed="81"/>
            <rFont val="Segoe UI"/>
            <family val="2"/>
          </rPr>
          <t xml:space="preserve">
Para Tipo de Quantidade ICL. 
R: Repousos
F: Feriados
RF: Repousos e Feriados
DU: Dias Úteis</t>
        </r>
      </text>
    </comment>
    <comment ref="A35" authorId="0" shapeId="0" xr:uid="{B59255AD-C0A0-4C9C-9ECD-47394DB6C4C4}">
      <text>
        <r>
          <rPr>
            <b/>
            <sz val="9"/>
            <color indexed="81"/>
            <rFont val="Segoe UI"/>
            <family val="2"/>
          </rPr>
          <t xml:space="preserve">OUTRA TABELA
Cartão de Ponto
</t>
        </r>
        <r>
          <rPr>
            <sz val="9"/>
            <color indexed="81"/>
            <rFont val="Segoe UI"/>
            <family val="2"/>
          </rPr>
          <t>Para Tipo de Quantidade ICP
HED: Horas Extras Diurnas
HEN: Horas Extras Noturnas 
HEDN: Horas Extras Diurnas e Noturnas
HN: Horas Noturnas
R: Repousos
F: Feriados
RF: Repousos e Feriados
ITRA: Intrajornada
ITER: Interjornada</t>
        </r>
      </text>
    </comment>
    <comment ref="A36" authorId="0" shapeId="0" xr:uid="{55821E52-967C-487A-A22A-31A65D96E734}">
      <text>
        <r>
          <rPr>
            <b/>
            <sz val="9"/>
            <color indexed="81"/>
            <rFont val="Segoe UI"/>
            <family val="2"/>
          </rPr>
          <t>Outro Valor</t>
        </r>
        <r>
          <rPr>
            <sz val="9"/>
            <color indexed="81"/>
            <rFont val="Segoe UI"/>
            <family val="2"/>
          </rPr>
          <t xml:space="preserve">
Para Tipo de Quantidade IN. Valor Número Digitável.</t>
        </r>
      </text>
    </comment>
    <comment ref="A37" authorId="0" shapeId="0" xr:uid="{487DCA95-7158-4E51-887A-B1E5116EA3F8}">
      <text>
        <r>
          <rPr>
            <b/>
            <sz val="9"/>
            <color indexed="81"/>
            <rFont val="Segoe UI"/>
            <family val="2"/>
          </rPr>
          <t>Proporcionalizar Quantidade</t>
        </r>
        <r>
          <rPr>
            <sz val="9"/>
            <color indexed="81"/>
            <rFont val="Segoe UI"/>
            <family val="2"/>
          </rPr>
          <t xml:space="preserve">
S: Sim 
N: Não</t>
        </r>
      </text>
    </comment>
    <comment ref="A38" authorId="0" shapeId="0" xr:uid="{36B5B393-042A-45BF-B854-231FEFF1C0B4}">
      <text>
        <r>
          <rPr>
            <b/>
            <sz val="9"/>
            <color indexed="81"/>
            <rFont val="Segoe UI"/>
            <family val="2"/>
          </rPr>
          <t>Valor Pago</t>
        </r>
        <r>
          <rPr>
            <sz val="9"/>
            <color indexed="81"/>
            <rFont val="Segoe UI"/>
            <family val="2"/>
          </rPr>
          <t xml:space="preserve">
I: Informado
C: Calculado</t>
        </r>
      </text>
    </comment>
    <comment ref="A39" authorId="0" shapeId="0" xr:uid="{3A78514E-C668-402B-9B29-36E68CD486F1}">
      <text>
        <r>
          <rPr>
            <b/>
            <sz val="9"/>
            <color indexed="81"/>
            <rFont val="Segoe UI"/>
            <family val="2"/>
          </rPr>
          <t xml:space="preserve">Bases Cadastradas
</t>
        </r>
        <r>
          <rPr>
            <sz val="9"/>
            <color indexed="81"/>
            <rFont val="Segoe UI"/>
            <family val="2"/>
          </rPr>
          <t xml:space="preserve">MR: Maior Remuneração
HS: Histórico Salarial
PS: Piso Salarial
SM: Salário Mínimo
VT: Vale Transporte
</t>
        </r>
      </text>
    </comment>
    <comment ref="A40" authorId="0" shapeId="0" xr:uid="{C7B71C20-09D8-4E91-8263-26ED19A2820D}">
      <text>
        <r>
          <rPr>
            <b/>
            <sz val="9"/>
            <color indexed="81"/>
            <rFont val="Segoe UI"/>
            <family val="2"/>
          </rPr>
          <t>Valor informado.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41" authorId="0" shapeId="0" xr:uid="{5CFAAE90-F939-469C-B480-5D89E8E25768}">
      <text>
        <r>
          <rPr>
            <b/>
            <sz val="9"/>
            <color indexed="81"/>
            <rFont val="Segoe UI"/>
            <family val="2"/>
          </rPr>
          <t>Indica se deve ser aplicada a proporcionalidade para o valor pago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42" authorId="0" shapeId="0" xr:uid="{1EA97A30-660A-414C-9418-B78F1FFB6F6E}">
      <text>
        <r>
          <rPr>
            <b/>
            <sz val="9"/>
            <color indexed="81"/>
            <rFont val="Segoe UI"/>
            <family val="2"/>
          </rPr>
          <t>Quantidade informada.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44" authorId="0" shapeId="0" xr:uid="{223E1328-21AE-4E14-819F-022F7568C02A}">
      <text>
        <r>
          <rPr>
            <b/>
            <sz val="9"/>
            <color indexed="81"/>
            <rFont val="Segoe UI"/>
            <family val="2"/>
          </rPr>
          <t xml:space="preserve">Repercussão 13º Salário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45" authorId="0" shapeId="0" xr:uid="{469D1EF5-68B0-4B2A-BBF9-F928ED7342B2}">
      <text>
        <r>
          <rPr>
            <b/>
            <sz val="9"/>
            <color indexed="81"/>
            <rFont val="Segoe UI"/>
            <family val="2"/>
          </rPr>
          <t xml:space="preserve">Repercussão Férias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46" authorId="0" shapeId="0" xr:uid="{17342875-1A59-4BFA-8B69-9B13BA8868BC}">
      <text>
        <r>
          <rPr>
            <b/>
            <sz val="9"/>
            <color indexed="81"/>
            <rFont val="Segoe UI"/>
            <family val="2"/>
          </rPr>
          <t xml:space="preserve">Repercussão Aviso Prévio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47" authorId="0" shapeId="0" xr:uid="{DB515114-1BCF-4B83-B4D3-DDC9435A52E2}">
      <text>
        <r>
          <rPr>
            <b/>
            <sz val="9"/>
            <color indexed="81"/>
            <rFont val="Segoe UI"/>
            <family val="2"/>
          </rPr>
          <t xml:space="preserve">Repercussão Repouso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48" authorId="0" shapeId="0" xr:uid="{08949114-EC65-4F5C-B9A3-DA8A0245C190}">
      <text>
        <r>
          <rPr>
            <b/>
            <sz val="9"/>
            <color indexed="81"/>
            <rFont val="Segoe UI"/>
            <family val="2"/>
          </rPr>
          <t xml:space="preserve">Repercussão Multa Artigo 477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49" authorId="0" shapeId="0" xr:uid="{FB56D8CD-AFFE-4C9A-A431-E4A0A1DBA0B7}">
      <text>
        <r>
          <rPr>
            <b/>
            <sz val="9"/>
            <color indexed="81"/>
            <rFont val="Segoe UI"/>
            <family val="2"/>
          </rPr>
          <t>Comportamento Reflexo</t>
        </r>
        <r>
          <rPr>
            <sz val="9"/>
            <color indexed="81"/>
            <rFont val="Segoe UI"/>
            <family val="2"/>
          </rPr>
          <t xml:space="preserve">
VM: Valor Mensal
MA: Média Pelo Valor Absoluto
MC: Média Pelo Valor Corrigido
MQ: Média Pela Quantidade
</t>
        </r>
      </text>
    </comment>
    <comment ref="A50" authorId="0" shapeId="0" xr:uid="{330A94CF-5B5D-4DAA-BFB1-97B226AEC6C4}">
      <text>
        <r>
          <rPr>
            <sz val="9"/>
            <color indexed="81"/>
            <rFont val="Segoe UI"/>
            <family val="2"/>
          </rPr>
          <t xml:space="preserve">
PA: Período Aquisitivo 
AC: Ano Civil
DM: Últimos Doze Meses do Contrato
DV: Doze Meses Anteriores as Vencimento da Verba</t>
        </r>
      </text>
    </comment>
    <comment ref="A51" authorId="0" shapeId="0" xr:uid="{BE091A1A-0312-49A2-B97F-CD18EA6860F6}">
      <text>
        <r>
          <rPr>
            <sz val="9"/>
            <color indexed="81"/>
            <rFont val="Segoe UI"/>
            <family val="2"/>
          </rPr>
          <t xml:space="preserve">
M: Manter 
I: Integralizar
D: Desprezar
DMQ: Desprezar Menor que 15 Dias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Fonseca</author>
    <author>José Roberto Santos</author>
  </authors>
  <commentList>
    <comment ref="F1" authorId="0" shapeId="0" xr:uid="{85D5D4DC-AAC3-4DD0-B078-1BC27435FBD9}">
      <text>
        <r>
          <rPr>
            <b/>
            <sz val="9"/>
            <color indexed="81"/>
            <rFont val="Segoe UI"/>
            <family val="2"/>
          </rPr>
          <t xml:space="preserve">Parcela
</t>
        </r>
        <r>
          <rPr>
            <sz val="9"/>
            <color indexed="81"/>
            <rFont val="Segoe UI"/>
            <family val="2"/>
          </rPr>
          <t>F: Fixa
V: Variável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G1" authorId="0" shapeId="0" xr:uid="{A346DF7F-6B37-4FED-9B70-720813EEE0D8}">
      <text>
        <r>
          <rPr>
            <b/>
            <sz val="9"/>
            <color indexed="81"/>
            <rFont val="Segoe UI"/>
            <charset val="1"/>
          </rPr>
          <t xml:space="preserve">Valor
</t>
        </r>
        <r>
          <rPr>
            <sz val="9"/>
            <color indexed="81"/>
            <rFont val="Segoe UI"/>
            <family val="2"/>
          </rPr>
          <t>C: Calculado
I: Informado</t>
        </r>
        <r>
          <rPr>
            <sz val="9"/>
            <color indexed="81"/>
            <rFont val="Segoe UI"/>
            <charset val="1"/>
          </rPr>
          <t xml:space="preserve">
</t>
        </r>
      </text>
    </comment>
    <comment ref="H1" authorId="0" shapeId="0" xr:uid="{3D27BD96-77D2-4821-89DB-221270591A88}">
      <text>
        <r>
          <rPr>
            <b/>
            <sz val="9"/>
            <color indexed="81"/>
            <rFont val="Segoe UI"/>
            <family val="2"/>
          </rPr>
          <t xml:space="preserve">Incidência INSS
</t>
        </r>
        <r>
          <rPr>
            <sz val="9"/>
            <color indexed="81"/>
            <rFont val="Segoe UI"/>
            <family val="2"/>
          </rPr>
          <t xml:space="preserve">S: Sim
N: Não
</t>
        </r>
      </text>
    </comment>
    <comment ref="I1" authorId="0" shapeId="0" xr:uid="{B3558797-0FB9-4D55-AD88-B9C82BAC31AF}">
      <text>
        <r>
          <rPr>
            <b/>
            <sz val="9"/>
            <color indexed="81"/>
            <rFont val="Segoe UI"/>
            <family val="2"/>
          </rPr>
          <t xml:space="preserve">Incidência IRPF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J1" authorId="0" shapeId="0" xr:uid="{95CA1108-D39F-4482-A306-916F556CEFD7}">
      <text>
        <r>
          <rPr>
            <b/>
            <sz val="9"/>
            <color indexed="81"/>
            <rFont val="Segoe UI"/>
            <family val="2"/>
          </rPr>
          <t xml:space="preserve">Incidência FGTS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K1" authorId="0" shapeId="0" xr:uid="{C1B7FDD7-918E-4F7E-AC06-BFEF9DDA477E}">
      <text>
        <r>
          <rPr>
            <b/>
            <sz val="9"/>
            <color indexed="81"/>
            <rFont val="Segoe UI"/>
            <family val="2"/>
          </rPr>
          <t xml:space="preserve">Incidência Previdência Privada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L1" authorId="0" shapeId="0" xr:uid="{737973FF-5943-4FCC-B7DE-54A7FE67DBB6}">
      <text>
        <r>
          <rPr>
            <b/>
            <sz val="9"/>
            <color indexed="81"/>
            <rFont val="Segoe UI"/>
            <family val="2"/>
          </rPr>
          <t xml:space="preserve">Incidência Pensão Alimentícia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M1" authorId="0" shapeId="0" xr:uid="{148A5501-12EA-49DB-BF3D-3A025CB02875}">
      <text>
        <r>
          <rPr>
            <b/>
            <sz val="9"/>
            <color indexed="81"/>
            <rFont val="Segoe UI"/>
            <family val="2"/>
          </rPr>
          <t>Característica</t>
        </r>
        <r>
          <rPr>
            <sz val="9"/>
            <color indexed="81"/>
            <rFont val="Segoe UI"/>
            <family val="2"/>
          </rPr>
          <t xml:space="preserve">
AP: Aviso Prévio
DT: Décimo Terceiro
F: Férias
C: Comum</t>
        </r>
      </text>
    </comment>
    <comment ref="N1" authorId="1" shapeId="0" xr:uid="{C6EE989B-116A-4A28-9ADA-3167E446BF7A}">
      <text>
        <r>
          <rPr>
            <b/>
            <sz val="9"/>
            <color indexed="81"/>
            <rFont val="Segoe UI"/>
            <family val="2"/>
          </rPr>
          <t xml:space="preserve">Ocorrência de Pagamento
</t>
        </r>
        <r>
          <rPr>
            <sz val="9"/>
            <color indexed="81"/>
            <rFont val="Segoe UI"/>
            <family val="2"/>
          </rPr>
          <t>M: Mensal
DL: Desligamento
DZ: Dezembro
PA: Período Aquisitivo</t>
        </r>
      </text>
    </comment>
    <comment ref="O1" authorId="0" shapeId="0" xr:uid="{0F2F7DE8-7A09-45E7-B19A-4991C1039828}">
      <text>
        <r>
          <rPr>
            <b/>
            <sz val="9"/>
            <color indexed="81"/>
            <rFont val="Segoe UI"/>
            <family val="2"/>
          </rPr>
          <t xml:space="preserve">Juros - Aplicar Súmula nº 439 do TST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P1" authorId="0" shapeId="0" xr:uid="{A5FB4F08-26DF-4BA3-945B-2F382CF9FFFF}">
      <text>
        <r>
          <rPr>
            <b/>
            <sz val="9"/>
            <color indexed="81"/>
            <rFont val="Segoe UI"/>
            <family val="2"/>
          </rPr>
          <t xml:space="preserve">Tipo
</t>
        </r>
        <r>
          <rPr>
            <sz val="9"/>
            <color indexed="81"/>
            <rFont val="Segoe UI"/>
            <family val="2"/>
          </rPr>
          <t xml:space="preserve">P: Principal
R: Reflexo
</t>
        </r>
      </text>
    </comment>
    <comment ref="Q1" authorId="0" shapeId="0" xr:uid="{B9042016-ADCA-4E6B-A576-2AF2D01FBCB4}">
      <text>
        <r>
          <rPr>
            <b/>
            <sz val="9"/>
            <color indexed="81"/>
            <rFont val="Segoe UI"/>
            <family val="2"/>
          </rPr>
          <t>Gerar Verba Reflexa</t>
        </r>
        <r>
          <rPr>
            <sz val="9"/>
            <color indexed="81"/>
            <rFont val="Segoe UI"/>
            <family val="2"/>
          </rPr>
          <t xml:space="preserve">
DV: Devido
DF: Diferença</t>
        </r>
      </text>
    </comment>
    <comment ref="R1" authorId="0" shapeId="0" xr:uid="{ABDFE9A8-9328-4E43-9E4A-43AAF1695A2A}">
      <text>
        <r>
          <rPr>
            <b/>
            <sz val="9"/>
            <color indexed="81"/>
            <rFont val="Segoe UI"/>
            <family val="2"/>
          </rPr>
          <t>Gerar Verba Principal</t>
        </r>
        <r>
          <rPr>
            <sz val="9"/>
            <color indexed="81"/>
            <rFont val="Segoe UI"/>
            <family val="2"/>
          </rPr>
          <t xml:space="preserve">
DV: Devido
DF: Diferença</t>
        </r>
      </text>
    </comment>
    <comment ref="S1" authorId="0" shapeId="0" xr:uid="{BE979CFE-A23C-4488-94B4-82D5C1B1C9E0}">
      <text>
        <r>
          <rPr>
            <b/>
            <sz val="9"/>
            <color indexed="81"/>
            <rFont val="Segoe UI"/>
            <family val="2"/>
          </rPr>
          <t xml:space="preserve">Compor Principal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T1" authorId="0" shapeId="0" xr:uid="{CB16A14D-63B6-48AF-9485-2486192E8723}">
      <text>
        <r>
          <rPr>
            <b/>
            <sz val="9"/>
            <color indexed="81"/>
            <rFont val="Segoe UI"/>
            <family val="2"/>
          </rPr>
          <t>Zerar valor Negativo:</t>
        </r>
        <r>
          <rPr>
            <sz val="9"/>
            <color indexed="81"/>
            <rFont val="Segoe UI"/>
            <family val="2"/>
          </rPr>
          <t xml:space="preserve">
S: Sim
N: Não</t>
        </r>
      </text>
    </comment>
    <comment ref="W1" authorId="0" shapeId="0" xr:uid="{3208B9A5-3D94-4363-AC1A-C5A95EA4891A}">
      <text>
        <r>
          <rPr>
            <b/>
            <sz val="9"/>
            <color indexed="81"/>
            <rFont val="Segoe UI"/>
            <family val="2"/>
          </rPr>
          <t xml:space="preserve">Excluir Faltas Justificadas
</t>
        </r>
        <r>
          <rPr>
            <sz val="9"/>
            <color indexed="81"/>
            <rFont val="Segoe UI"/>
            <family val="2"/>
          </rPr>
          <t>S: Sim 
N: Não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X1" authorId="0" shapeId="0" xr:uid="{AC3788B2-94C1-4CBB-894B-A081EA3A2928}">
      <text>
        <r>
          <rPr>
            <b/>
            <sz val="9"/>
            <color indexed="81"/>
            <rFont val="Segoe UI"/>
            <family val="2"/>
          </rPr>
          <t xml:space="preserve">Excluir Faltas Não Justificadas
</t>
        </r>
        <r>
          <rPr>
            <sz val="9"/>
            <color indexed="81"/>
            <rFont val="Segoe UI"/>
            <family val="2"/>
          </rPr>
          <t xml:space="preserve">S: Sim 
N: Não
</t>
        </r>
      </text>
    </comment>
    <comment ref="Y1" authorId="0" shapeId="0" xr:uid="{BF5F2777-C8C7-4718-A484-61C9CA7208DB}">
      <text>
        <r>
          <rPr>
            <b/>
            <sz val="9"/>
            <color indexed="81"/>
            <rFont val="Segoe UI"/>
            <family val="2"/>
          </rPr>
          <t xml:space="preserve">Excluir Férias Gozadas
</t>
        </r>
        <r>
          <rPr>
            <sz val="9"/>
            <color indexed="81"/>
            <rFont val="Segoe UI"/>
            <family val="2"/>
          </rPr>
          <t>S: Sim 
N: Não</t>
        </r>
      </text>
    </comment>
    <comment ref="Z1" authorId="0" shapeId="0" xr:uid="{FB0FCE01-2D4C-4E98-892B-99CF6A1AF79D}">
      <text>
        <r>
          <rPr>
            <b/>
            <sz val="9"/>
            <color indexed="81"/>
            <rFont val="Segoe UI"/>
            <family val="2"/>
          </rPr>
          <t xml:space="preserve">Dobrar Valor Devido
</t>
        </r>
        <r>
          <rPr>
            <sz val="9"/>
            <color indexed="81"/>
            <rFont val="Segoe UI"/>
            <family val="2"/>
          </rPr>
          <t xml:space="preserve">S: Sim 
N: Não
</t>
        </r>
      </text>
    </comment>
    <comment ref="AA1" authorId="0" shapeId="0" xr:uid="{477A1A58-53E4-4C8D-AA69-9816B736A96C}">
      <text>
        <r>
          <rPr>
            <b/>
            <sz val="9"/>
            <color indexed="81"/>
            <rFont val="Segoe UI"/>
            <family val="2"/>
          </rPr>
          <t xml:space="preserve">Valor Devido se o valor do verba for Informado.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B1" authorId="0" shapeId="0" xr:uid="{48D2E178-DFF6-42B5-B949-9FACABB77FB0}">
      <text>
        <r>
          <rPr>
            <b/>
            <sz val="9"/>
            <color indexed="81"/>
            <rFont val="Segoe UI"/>
            <family val="2"/>
          </rPr>
          <t>Proporcionalizar</t>
        </r>
        <r>
          <rPr>
            <sz val="9"/>
            <color indexed="81"/>
            <rFont val="Segoe UI"/>
            <family val="2"/>
          </rPr>
          <t xml:space="preserve">
S: Sim 
N: Não</t>
        </r>
      </text>
    </comment>
    <comment ref="AC1" authorId="0" shapeId="0" xr:uid="{E379D9BC-F42B-484E-AAB8-AD413DA5E3C6}">
      <text>
        <r>
          <rPr>
            <b/>
            <sz val="9"/>
            <color indexed="81"/>
            <rFont val="Segoe UI"/>
            <family val="2"/>
          </rPr>
          <t xml:space="preserve">Bases Cadastradas
</t>
        </r>
        <r>
          <rPr>
            <sz val="9"/>
            <color indexed="81"/>
            <rFont val="Segoe UI"/>
            <family val="2"/>
          </rPr>
          <t xml:space="preserve">MR: Maior Remuneração
HS: Histórico Salarial
PS: Piso Salarial
SM: Salário Mínimo
VT: Vale Transporte
</t>
        </r>
      </text>
    </comment>
    <comment ref="AD1" authorId="0" shapeId="0" xr:uid="{5445A7F1-072C-4714-B4CD-84818B584665}">
      <text>
        <r>
          <rPr>
            <b/>
            <sz val="9"/>
            <color indexed="81"/>
            <rFont val="Segoe UI"/>
            <family val="2"/>
          </rPr>
          <t xml:space="preserve">Divisor
</t>
        </r>
        <r>
          <rPr>
            <sz val="9"/>
            <color indexed="81"/>
            <rFont val="Segoe UI"/>
            <family val="2"/>
          </rPr>
          <t>IN: Informado
CH: Carga Horária
DU: Dias Úteis
ICP: Importada do Cartão de Ponto</t>
        </r>
      </text>
    </comment>
    <comment ref="AE1" authorId="0" shapeId="0" xr:uid="{1A4E0985-EF82-4843-9241-236CB96A94E4}">
      <text>
        <r>
          <rPr>
            <b/>
            <sz val="9"/>
            <color indexed="81"/>
            <rFont val="Segoe UI"/>
            <family val="2"/>
          </rPr>
          <t>Se o divisor for informado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F1" authorId="0" shapeId="0" xr:uid="{81B9AB89-D035-4665-A6E0-EFE58418234A}">
      <text>
        <r>
          <rPr>
            <sz val="9"/>
            <color indexed="81"/>
            <rFont val="Segoe UI"/>
            <family val="2"/>
          </rPr>
          <t>Valor do Multiplicador da Verba.</t>
        </r>
      </text>
    </comment>
    <comment ref="AG1" authorId="0" shapeId="0" xr:uid="{55885FC0-3A6A-4D39-8636-F6402D3B427D}">
      <text>
        <r>
          <rPr>
            <b/>
            <sz val="9"/>
            <color indexed="81"/>
            <rFont val="Segoe UI"/>
            <family val="2"/>
          </rPr>
          <t xml:space="preserve">Quantidade
</t>
        </r>
        <r>
          <rPr>
            <sz val="9"/>
            <color indexed="81"/>
            <rFont val="Segoe UI"/>
            <family val="2"/>
          </rPr>
          <t xml:space="preserve">Tipo de Quantidade da Verba
IN: Informada
ICL: Importada do Calendário 
ICP: Importada do Cartão de Ponto
AV: Avos
</t>
        </r>
      </text>
    </comment>
    <comment ref="AH1" authorId="0" shapeId="0" xr:uid="{A088BCC0-28A3-4948-9955-9EFDCE80B7DF}">
      <text>
        <r>
          <rPr>
            <b/>
            <sz val="9"/>
            <color indexed="81"/>
            <rFont val="Segoe UI"/>
            <family val="2"/>
          </rPr>
          <t>Calendário</t>
        </r>
        <r>
          <rPr>
            <sz val="9"/>
            <color indexed="81"/>
            <rFont val="Segoe UI"/>
            <family val="2"/>
          </rPr>
          <t xml:space="preserve">
Para Tipo de Quantidade ICL. 
R: Repousos
F: Feriados
RF: Repousos e Feriados
DU: Dias Úteis</t>
        </r>
      </text>
    </comment>
    <comment ref="AI1" authorId="0" shapeId="0" xr:uid="{21BD19FD-7BB7-435C-8FA6-657CAC0BB66A}">
      <text>
        <r>
          <rPr>
            <b/>
            <sz val="9"/>
            <color indexed="81"/>
            <rFont val="Segoe UI"/>
            <family val="2"/>
          </rPr>
          <t xml:space="preserve">OUTRA TABELA
Cartão de Ponto
</t>
        </r>
        <r>
          <rPr>
            <sz val="9"/>
            <color indexed="81"/>
            <rFont val="Segoe UI"/>
            <family val="2"/>
          </rPr>
          <t>Para Tipo de Quantidade ICP
HED: Horas Extras Diurnas
HEN: Horas Extras Noturnas 
HEDN: Horas Extras Diurnas e Noturnas
HN: Horas Noturnas
R: Repousos
F: Feriados
RF: Repousos e Feriados
ITRA: Intrajornada
ITER: Interjornada</t>
        </r>
      </text>
    </comment>
    <comment ref="AJ1" authorId="0" shapeId="0" xr:uid="{4405C720-C723-486B-AA4F-13A943D43BB6}">
      <text>
        <r>
          <rPr>
            <b/>
            <sz val="9"/>
            <color indexed="81"/>
            <rFont val="Segoe UI"/>
            <family val="2"/>
          </rPr>
          <t>Outro Valor</t>
        </r>
        <r>
          <rPr>
            <sz val="9"/>
            <color indexed="81"/>
            <rFont val="Segoe UI"/>
            <family val="2"/>
          </rPr>
          <t xml:space="preserve">
Para Tipo de Quantidade IN. Valor Número Digitável.</t>
        </r>
      </text>
    </comment>
    <comment ref="AK1" authorId="0" shapeId="0" xr:uid="{87E37EA9-930B-4D7B-BE34-2D0D4E5C9A0D}">
      <text>
        <r>
          <rPr>
            <b/>
            <sz val="9"/>
            <color indexed="81"/>
            <rFont val="Segoe UI"/>
            <family val="2"/>
          </rPr>
          <t>Proporcionalizar Quantidade</t>
        </r>
        <r>
          <rPr>
            <sz val="9"/>
            <color indexed="81"/>
            <rFont val="Segoe UI"/>
            <family val="2"/>
          </rPr>
          <t xml:space="preserve">
S: Sim 
N: Não</t>
        </r>
      </text>
    </comment>
    <comment ref="AL1" authorId="0" shapeId="0" xr:uid="{60F17306-B34B-4682-970E-791E0ECC9BE9}">
      <text>
        <r>
          <rPr>
            <b/>
            <sz val="9"/>
            <color indexed="81"/>
            <rFont val="Segoe UI"/>
            <family val="2"/>
          </rPr>
          <t>Valor Pago</t>
        </r>
        <r>
          <rPr>
            <sz val="9"/>
            <color indexed="81"/>
            <rFont val="Segoe UI"/>
            <family val="2"/>
          </rPr>
          <t xml:space="preserve">
I: Informado
C: Calculado</t>
        </r>
      </text>
    </comment>
    <comment ref="AM1" authorId="0" shapeId="0" xr:uid="{43CA7960-3878-44DA-AA13-A6D11255D63A}">
      <text>
        <r>
          <rPr>
            <b/>
            <sz val="9"/>
            <color indexed="81"/>
            <rFont val="Segoe UI"/>
            <family val="2"/>
          </rPr>
          <t xml:space="preserve">Bases Cadastradas
</t>
        </r>
        <r>
          <rPr>
            <sz val="9"/>
            <color indexed="81"/>
            <rFont val="Segoe UI"/>
            <family val="2"/>
          </rPr>
          <t xml:space="preserve">MR: Maior Remuneração
HS: Histórico Salarial
PS: Piso Salarial
SM: Salário Mínimo
VT: Vale Transporte
</t>
        </r>
      </text>
    </comment>
    <comment ref="AN1" authorId="0" shapeId="0" xr:uid="{DD528C28-8823-41E8-89DF-250D3F1EFC12}">
      <text>
        <r>
          <rPr>
            <b/>
            <sz val="9"/>
            <color indexed="81"/>
            <rFont val="Segoe UI"/>
            <family val="2"/>
          </rPr>
          <t>Valor informado.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O1" authorId="0" shapeId="0" xr:uid="{AA794148-43D6-4AE1-A04C-6E065A44C25C}">
      <text>
        <r>
          <rPr>
            <b/>
            <sz val="9"/>
            <color indexed="81"/>
            <rFont val="Segoe UI"/>
            <family val="2"/>
          </rPr>
          <t>Indica se deve ser aplicada a proporcionalidade para o valor pago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P1" authorId="0" shapeId="0" xr:uid="{6B88E229-637F-4915-9310-567213C9DE13}">
      <text>
        <r>
          <rPr>
            <b/>
            <sz val="9"/>
            <color indexed="81"/>
            <rFont val="Segoe UI"/>
            <family val="2"/>
          </rPr>
          <t>Quantidade informada.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R1" authorId="0" shapeId="0" xr:uid="{3652FEE2-20BC-418B-A204-E6CABDC92C95}">
      <text>
        <r>
          <rPr>
            <b/>
            <sz val="9"/>
            <color indexed="81"/>
            <rFont val="Segoe UI"/>
            <family val="2"/>
          </rPr>
          <t xml:space="preserve">Repercussão 13º Salário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S1" authorId="0" shapeId="0" xr:uid="{D4EB7D68-7F72-450E-A18C-07E452C7DF15}">
      <text>
        <r>
          <rPr>
            <b/>
            <sz val="9"/>
            <color indexed="81"/>
            <rFont val="Segoe UI"/>
            <family val="2"/>
          </rPr>
          <t xml:space="preserve">Repercussão Férias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T1" authorId="0" shapeId="0" xr:uid="{77FAB8C8-ED13-4B1D-86BE-757892022291}">
      <text>
        <r>
          <rPr>
            <b/>
            <sz val="9"/>
            <color indexed="81"/>
            <rFont val="Segoe UI"/>
            <family val="2"/>
          </rPr>
          <t xml:space="preserve">Repercussão Aviso Prévio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U1" authorId="0" shapeId="0" xr:uid="{101B615A-E822-4D1E-9D00-5A0AEC7E0817}">
      <text>
        <r>
          <rPr>
            <b/>
            <sz val="9"/>
            <color indexed="81"/>
            <rFont val="Segoe UI"/>
            <family val="2"/>
          </rPr>
          <t xml:space="preserve">Repercussão Repouso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V1" authorId="0" shapeId="0" xr:uid="{861A79C2-30FB-4012-A53E-E21DD34D5E10}">
      <text>
        <r>
          <rPr>
            <b/>
            <sz val="9"/>
            <color indexed="81"/>
            <rFont val="Segoe UI"/>
            <family val="2"/>
          </rPr>
          <t xml:space="preserve">Repercussão Multa Artigo 477
</t>
        </r>
        <r>
          <rPr>
            <sz val="9"/>
            <color indexed="81"/>
            <rFont val="Segoe UI"/>
            <family val="2"/>
          </rPr>
          <t>S: Sim
N: Não</t>
        </r>
      </text>
    </comment>
    <comment ref="AW1" authorId="0" shapeId="0" xr:uid="{4D6477D4-5D02-4253-A3B0-AE5EAD349890}">
      <text>
        <r>
          <rPr>
            <b/>
            <sz val="9"/>
            <color indexed="81"/>
            <rFont val="Segoe UI"/>
            <family val="2"/>
          </rPr>
          <t xml:space="preserve">Comportamento Reflexo
</t>
        </r>
        <r>
          <rPr>
            <sz val="9"/>
            <color indexed="81"/>
            <rFont val="Segoe UI"/>
            <family val="2"/>
          </rPr>
          <t>VM: Valor Mensal
MA: Média Pelo Valor Absoluto
MC: Média Pelo Valor Corrigido
MQ: Média Pela Quantidade</t>
        </r>
      </text>
    </comment>
    <comment ref="AX1" authorId="0" shapeId="0" xr:uid="{4A64D176-928B-4BCF-BE6D-B80445F44319}">
      <text>
        <r>
          <rPr>
            <b/>
            <sz val="9"/>
            <color indexed="81"/>
            <rFont val="Segoe UI"/>
            <family val="2"/>
          </rPr>
          <t>Período da Média</t>
        </r>
        <r>
          <rPr>
            <sz val="9"/>
            <color indexed="81"/>
            <rFont val="Segoe UI"/>
            <family val="2"/>
          </rPr>
          <t xml:space="preserve">
PA: Período Aquisitivo 
AC: Ano Civil
DM: Últimos Doze Meses do Contrato
DV: Doze Meses Anteriores as Vencimento da Verba</t>
        </r>
      </text>
    </comment>
    <comment ref="AY1" authorId="0" shapeId="0" xr:uid="{F3CEAEAE-20F9-4CA6-BEF9-49F0C1B18D2D}">
      <text>
        <r>
          <rPr>
            <b/>
            <sz val="9"/>
            <color indexed="81"/>
            <rFont val="Segoe UI"/>
            <family val="2"/>
          </rPr>
          <t>Tratamento da Fração de Mês</t>
        </r>
        <r>
          <rPr>
            <sz val="9"/>
            <color indexed="81"/>
            <rFont val="Segoe UI"/>
            <family val="2"/>
          </rPr>
          <t xml:space="preserve">
M: Manter 
I: Integralizar
D: Desprezar
DMQ: Desprezar Menor que 15 Dias</t>
        </r>
      </text>
    </comment>
  </commentList>
</comments>
</file>

<file path=xl/sharedStrings.xml><?xml version="1.0" encoding="utf-8"?>
<sst xmlns="http://schemas.openxmlformats.org/spreadsheetml/2006/main" count="899" uniqueCount="184">
  <si>
    <t>SNMVERBA</t>
  </si>
  <si>
    <t>ICDASSUNTO</t>
  </si>
  <si>
    <t>STPPARCELA</t>
  </si>
  <si>
    <t>STPVALOR</t>
  </si>
  <si>
    <t>SFLINCIDENCIAINSS</t>
  </si>
  <si>
    <t>SFLINCIDENCIAIRPF</t>
  </si>
  <si>
    <t>SFLINCIDENCIAFGTS</t>
  </si>
  <si>
    <t>SFLINCIDENCIAPREVPRIVADA</t>
  </si>
  <si>
    <t>SFLINCIDENCIAPENSAO</t>
  </si>
  <si>
    <t>STPOCORRENCIAPAGAMENTO</t>
  </si>
  <si>
    <t>STPJUROSAJUIZAMENTO</t>
  </si>
  <si>
    <t>STPDIVISOR</t>
  </si>
  <si>
    <t>RVLOUTRODIVISOR</t>
  </si>
  <si>
    <t>RVLMULTIPLICADOR</t>
  </si>
  <si>
    <t>SFLPROPORCIONALIDADE</t>
  </si>
  <si>
    <t>STPCOMPORTAMENTOREFLEXO</t>
  </si>
  <si>
    <t>STPPERIODOMEDIAREFLEXO</t>
  </si>
  <si>
    <t>STPTRATAMENTOFRACAOMESREFLEXO</t>
  </si>
  <si>
    <t>STPCARACTERISTICAVERBA</t>
  </si>
  <si>
    <t>STPQUANTIDADE</t>
  </si>
  <si>
    <t>STPCARTAOPONTO</t>
  </si>
  <si>
    <t>STPCALENDARIO</t>
  </si>
  <si>
    <t>RVLOUTROVALORQTD</t>
  </si>
  <si>
    <t>SFLPROPORCIONALIDADEQTD</t>
  </si>
  <si>
    <t>SFLEXCLUIRFALTAJUSTIFICADA</t>
  </si>
  <si>
    <t>SFLEXCLUIRFALTANAOJUSTIFICADA</t>
  </si>
  <si>
    <t>SFLEXCLUIRFERIASGOZADAS</t>
  </si>
  <si>
    <t>IIDVERSAO</t>
  </si>
  <si>
    <t>SNMCOMPLETOVERBA</t>
  </si>
  <si>
    <t>HORAS EXTRAS 50%</t>
  </si>
  <si>
    <t>V</t>
  </si>
  <si>
    <t>C</t>
  </si>
  <si>
    <t>S</t>
  </si>
  <si>
    <t>N</t>
  </si>
  <si>
    <t>M</t>
  </si>
  <si>
    <t>DF</t>
  </si>
  <si>
    <t>HS</t>
  </si>
  <si>
    <t>CH</t>
  </si>
  <si>
    <t>IN</t>
  </si>
  <si>
    <t>IIDVERBACALCULO</t>
  </si>
  <si>
    <t>IIDCALCULO</t>
  </si>
  <si>
    <t>STPGERACAOPRINCIPAL</t>
  </si>
  <si>
    <t>DDTINICIO</t>
  </si>
  <si>
    <t>DDTTERMINO</t>
  </si>
  <si>
    <t>SFLPADRAOZERARVALORNEGATIVO</t>
  </si>
  <si>
    <t>SDSCOMENTARIO</t>
  </si>
  <si>
    <t xml:space="preserve">	STPGERACAOREFLEXO</t>
  </si>
  <si>
    <t>SFLATIVO</t>
  </si>
  <si>
    <t>SFLCOMPORPRINCIPAL</t>
  </si>
  <si>
    <t>STPDISCRIMINADOR</t>
  </si>
  <si>
    <t>IIDFORMULA</t>
  </si>
  <si>
    <t>SFLVERBAALTERADA</t>
  </si>
  <si>
    <t>IIDVALETRANSPORTEVALORDEVIDO</t>
  </si>
  <si>
    <t>IIDVALETRANSPORTEVALORPAGO</t>
  </si>
  <si>
    <t>IIDSALARIOCATEGORIAVALORDEVIDO</t>
  </si>
  <si>
    <t>IIDSALARIOCATEGORIAVALORPAGO</t>
  </si>
  <si>
    <t>IIDORDEM</t>
  </si>
  <si>
    <t>1,5</t>
  </si>
  <si>
    <t>X</t>
  </si>
  <si>
    <t>F</t>
  </si>
  <si>
    <t>SNMVERBAEXPRESSOPJECALC</t>
  </si>
  <si>
    <t>DIFERENÇA SALARIAL</t>
  </si>
  <si>
    <t>TÍQUETE-ALIMENTAÇÃO</t>
  </si>
  <si>
    <t>I</t>
  </si>
  <si>
    <t>STPTIPOVERBA</t>
  </si>
  <si>
    <t>STPGERARVERBAREFLEXA</t>
  </si>
  <si>
    <t>STPGERARVERBAPRINCIPAL</t>
  </si>
  <si>
    <t>MAIOR REMUNERAÇÃO</t>
  </si>
  <si>
    <t>HISTÓRICO SALARIAL</t>
  </si>
  <si>
    <t>SALÁRIO DEVIDO</t>
  </si>
  <si>
    <t>INÍCIO CÁLCULO</t>
  </si>
  <si>
    <t>SALÁRIO PAGO</t>
  </si>
  <si>
    <t>AUXÍLIO ALIMENTAÇÃO</t>
  </si>
  <si>
    <t>ADICIONAL DE INSALUBRIDADE</t>
  </si>
  <si>
    <t>FIM CÁLCULO</t>
  </si>
  <si>
    <t>HORAS EXTRAS PAGAS</t>
  </si>
  <si>
    <t>AUXÍLIO ALIMENTAÇÃO DIÁRIO</t>
  </si>
  <si>
    <t>CARGA HORÁRIA</t>
  </si>
  <si>
    <t>STPJUROSSUMULA</t>
  </si>
  <si>
    <t>SFLREFLEXOFERIAS</t>
  </si>
  <si>
    <t>SFLREFLEXOAVISO</t>
  </si>
  <si>
    <t>SFLREFLEXOREPOUSO</t>
  </si>
  <si>
    <t>SFLREFLEXO13TERCEIRO</t>
  </si>
  <si>
    <t>SNMVERBAJRS</t>
  </si>
  <si>
    <t>SNMDESCRICAOVERBA</t>
  </si>
  <si>
    <t>HORA EXTRA</t>
  </si>
  <si>
    <t>SNMHISTORICOSALARIAL</t>
  </si>
  <si>
    <t>PROPORCIONALIZAR</t>
  </si>
  <si>
    <t>SIM</t>
  </si>
  <si>
    <t>NÃO</t>
  </si>
  <si>
    <t>IIDVERBAJRS</t>
  </si>
  <si>
    <t>IIDBASECALCULO</t>
  </si>
  <si>
    <t>SFLREFLEXOART477CLT</t>
  </si>
  <si>
    <t>SFLDOBRARVALOR</t>
  </si>
  <si>
    <t>RVLVALORDEVIDO</t>
  </si>
  <si>
    <t>STPVALORPAGO</t>
  </si>
  <si>
    <t>RVLOUTROVALOR</t>
  </si>
  <si>
    <t>RVLQUANTIDADE</t>
  </si>
  <si>
    <t>SFLPROPORCIONALIDADEVALORPAGO</t>
  </si>
  <si>
    <t>STPBASEPAGO</t>
  </si>
  <si>
    <t>STPBASEDEVIDO</t>
  </si>
  <si>
    <t>PA</t>
  </si>
  <si>
    <t>ID</t>
  </si>
  <si>
    <t>CAMPOFORM</t>
  </si>
  <si>
    <t>CAMPOBD</t>
  </si>
  <si>
    <t>Mensal</t>
  </si>
  <si>
    <t>Calculado</t>
  </si>
  <si>
    <t>Carga Horária</t>
  </si>
  <si>
    <t>Informada</t>
  </si>
  <si>
    <t>Desligamento</t>
  </si>
  <si>
    <t>DL</t>
  </si>
  <si>
    <t>Informado</t>
  </si>
  <si>
    <t>Horas Trabalhadas</t>
  </si>
  <si>
    <t>HT</t>
  </si>
  <si>
    <t>Importada do Calendário</t>
  </si>
  <si>
    <t>ICL</t>
  </si>
  <si>
    <t>Dezembro</t>
  </si>
  <si>
    <t>DZ</t>
  </si>
  <si>
    <t>Dias Úteis</t>
  </si>
  <si>
    <t>DU</t>
  </si>
  <si>
    <t>Importada do Cartão de Ponto</t>
  </si>
  <si>
    <t>ICP</t>
  </si>
  <si>
    <t>Período Aquisitivo</t>
  </si>
  <si>
    <t>Outro Valor</t>
  </si>
  <si>
    <t>OV</t>
  </si>
  <si>
    <t>Avos</t>
  </si>
  <si>
    <t>AV</t>
  </si>
  <si>
    <t>STPBASE - (DEVIDO/PAGO)</t>
  </si>
  <si>
    <t>Maior Remuneração</t>
  </si>
  <si>
    <t>MR</t>
  </si>
  <si>
    <t>Histórico Salarial</t>
  </si>
  <si>
    <t>Piso Salarial</t>
  </si>
  <si>
    <t>PS</t>
  </si>
  <si>
    <t>Salário Mínimo</t>
  </si>
  <si>
    <t>SM</t>
  </si>
  <si>
    <t>VT</t>
  </si>
  <si>
    <t>Vale Transporte</t>
  </si>
  <si>
    <t>Sim</t>
  </si>
  <si>
    <t>Não</t>
  </si>
  <si>
    <t>Repousos e Feriados/Pontos Facultativos</t>
  </si>
  <si>
    <t>Repousos</t>
  </si>
  <si>
    <t>Feriados/Pontos Facultativos</t>
  </si>
  <si>
    <t>Alterei o nome</t>
  </si>
  <si>
    <r>
      <t>RVL</t>
    </r>
    <r>
      <rPr>
        <b/>
        <sz val="8"/>
        <color rgb="FFFF0000"/>
        <rFont val="Calibri"/>
        <family val="2"/>
        <scheme val="minor"/>
      </rPr>
      <t>IN</t>
    </r>
    <r>
      <rPr>
        <sz val="8"/>
        <color theme="1"/>
        <rFont val="Calibri"/>
        <family val="2"/>
        <scheme val="minor"/>
      </rPr>
      <t>OUTROVALOR</t>
    </r>
  </si>
  <si>
    <t>IDVERBA</t>
  </si>
  <si>
    <t>TIPOBASE</t>
  </si>
  <si>
    <t>PARCELA</t>
  </si>
  <si>
    <t>PROP/INT</t>
  </si>
  <si>
    <t>IDBASECALC</t>
  </si>
  <si>
    <t>SALÁRIO BASE</t>
  </si>
  <si>
    <t>PROP_INT</t>
  </si>
  <si>
    <t>OPÇOES 1</t>
  </si>
  <si>
    <t>OPÇOES 2</t>
  </si>
  <si>
    <t>VB</t>
  </si>
  <si>
    <t>VALPGPARCELA</t>
  </si>
  <si>
    <t>IDVALPGBASECALC</t>
  </si>
  <si>
    <t>VALPGPROP</t>
  </si>
  <si>
    <t>HORA EXTRA 50%</t>
  </si>
  <si>
    <t>HORA EXTRA 100%</t>
  </si>
  <si>
    <t>R</t>
  </si>
  <si>
    <t>DV</t>
  </si>
  <si>
    <r>
      <t>SFL</t>
    </r>
    <r>
      <rPr>
        <b/>
        <sz val="8"/>
        <color rgb="FFFF0000"/>
        <rFont val="Calibri"/>
        <family val="2"/>
        <scheme val="minor"/>
      </rPr>
      <t>VPG</t>
    </r>
    <r>
      <rPr>
        <sz val="8"/>
        <color theme="1"/>
        <rFont val="Calibri"/>
        <family val="2"/>
        <scheme val="minor"/>
      </rPr>
      <t>PROPORCIONALIDADE</t>
    </r>
  </si>
  <si>
    <r>
      <t>SFL</t>
    </r>
    <r>
      <rPr>
        <b/>
        <sz val="8"/>
        <color rgb="FFFF0000"/>
        <rFont val="Calibri"/>
        <family val="2"/>
        <scheme val="minor"/>
      </rPr>
      <t>QTD</t>
    </r>
    <r>
      <rPr>
        <sz val="8"/>
        <color theme="1"/>
        <rFont val="Calibri"/>
        <family val="2"/>
        <scheme val="minor"/>
      </rPr>
      <t>PROPORCIONALIDADE</t>
    </r>
  </si>
  <si>
    <t>RF</t>
  </si>
  <si>
    <t>Ano Civil</t>
  </si>
  <si>
    <t>Últimos Doze Meses do Contrato</t>
  </si>
  <si>
    <t>Doze Meses Anteriores as Vencimento da Verba</t>
  </si>
  <si>
    <t>AC</t>
  </si>
  <si>
    <t>DM</t>
  </si>
  <si>
    <t>Manter</t>
  </si>
  <si>
    <t>Integralizar</t>
  </si>
  <si>
    <t>Desprezar</t>
  </si>
  <si>
    <t>Desprezar Menor que 15 Dias</t>
  </si>
  <si>
    <t>D</t>
  </si>
  <si>
    <t>DMQ</t>
  </si>
  <si>
    <t>Formatação</t>
  </si>
  <si>
    <t>P</t>
  </si>
  <si>
    <t>HR EXTRA</t>
  </si>
  <si>
    <t>DF SALARIAL</t>
  </si>
  <si>
    <t>AXL ALIMENTAÇÃO</t>
  </si>
  <si>
    <t>21/08/2015</t>
  </si>
  <si>
    <t>29/09/2020</t>
  </si>
  <si>
    <t>VERBA TESTE 001</t>
  </si>
  <si>
    <t>Teste 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</si>
</sst>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000"/>
    <numFmt numFmtId="165" formatCode="0.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1"/>
      <color theme="2" tint="-0.249977111117893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2" tint="-0.249977111117893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10"/>
      <color theme="1"/>
      <name val="Segoe UI"/>
      <family val="2"/>
    </font>
    <font>
      <b/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 Light"/>
      <family val="2"/>
      <scheme val="major"/>
    </font>
    <font>
      <i/>
      <sz val="10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theme="2" tint="-0.249977111117893"/>
      <name val="Calibri Light"/>
      <family val="2"/>
      <scheme val="maj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8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64" fontId="6" fillId="0" borderId="3" xfId="0" applyNumberFormat="1" applyFont="1" applyBorder="1" applyAlignment="1">
      <alignment horizontal="center" vertical="center"/>
    </xf>
    <xf numFmtId="165" fontId="6" fillId="0" borderId="3" xfId="1" applyNumberFormat="1" applyFont="1" applyBorder="1" applyAlignment="1">
      <alignment horizontal="center" vertical="center"/>
    </xf>
    <xf numFmtId="164" fontId="6" fillId="0" borderId="3" xfId="1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7" fillId="2" borderId="3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textRotation="90"/>
    </xf>
    <xf numFmtId="0" fontId="6" fillId="0" borderId="0" xfId="0" applyFont="1" applyAlignment="1">
      <alignment horizontal="left" vertical="center" textRotation="90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4" borderId="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7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13" fillId="6" borderId="3" xfId="0" applyFont="1" applyFill="1" applyBorder="1" applyAlignment="1">
      <alignment vertical="center"/>
    </xf>
    <xf numFmtId="44" fontId="13" fillId="0" borderId="3" xfId="2" applyFont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4" xfId="0" applyFont="1" applyBorder="1" applyAlignment="1">
      <alignment vertical="center"/>
    </xf>
    <xf numFmtId="0" fontId="13" fillId="0" borderId="5" xfId="0" applyFont="1" applyBorder="1" applyAlignment="1">
      <alignment vertical="center"/>
    </xf>
    <xf numFmtId="14" fontId="13" fillId="0" borderId="3" xfId="0" applyNumberFormat="1" applyFont="1" applyBorder="1" applyAlignment="1">
      <alignment horizontal="center" vertical="center"/>
    </xf>
    <xf numFmtId="0" fontId="13" fillId="0" borderId="6" xfId="0" applyFont="1" applyBorder="1" applyAlignment="1">
      <alignment vertical="center"/>
    </xf>
    <xf numFmtId="2" fontId="13" fillId="0" borderId="3" xfId="0" applyNumberFormat="1" applyFont="1" applyBorder="1" applyAlignment="1">
      <alignment horizontal="center" vertical="center"/>
    </xf>
    <xf numFmtId="14" fontId="6" fillId="4" borderId="3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left" vertical="center" wrapText="1"/>
    </xf>
    <xf numFmtId="2" fontId="6" fillId="0" borderId="3" xfId="1" applyNumberFormat="1" applyFont="1" applyBorder="1" applyAlignment="1">
      <alignment horizontal="center" vertical="center"/>
    </xf>
    <xf numFmtId="1" fontId="6" fillId="0" borderId="3" xfId="1" applyNumberFormat="1" applyFont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left" vertical="center" wrapText="1"/>
    </xf>
    <xf numFmtId="0" fontId="15" fillId="5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14" fontId="6" fillId="0" borderId="3" xfId="0" applyNumberFormat="1" applyFont="1" applyBorder="1" applyAlignment="1">
      <alignment horizontal="center" vertical="center"/>
    </xf>
    <xf numFmtId="17" fontId="13" fillId="0" borderId="0" xfId="0" applyNumberFormat="1" applyFont="1" applyAlignment="1">
      <alignment vertical="center"/>
    </xf>
    <xf numFmtId="43" fontId="13" fillId="0" borderId="0" xfId="1" applyFont="1" applyAlignment="1">
      <alignment vertical="center"/>
    </xf>
    <xf numFmtId="0" fontId="2" fillId="8" borderId="7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0" borderId="0" xfId="0" applyFont="1"/>
    <xf numFmtId="0" fontId="2" fillId="8" borderId="7" xfId="0" applyFont="1" applyFill="1" applyBorder="1"/>
    <xf numFmtId="0" fontId="4" fillId="0" borderId="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6" fillId="9" borderId="0" xfId="0" applyFont="1" applyFill="1" applyAlignment="1">
      <alignment horizontal="center" vertical="center" textRotation="90"/>
    </xf>
    <xf numFmtId="0" fontId="4" fillId="8" borderId="0" xfId="0" applyFont="1" applyFill="1"/>
    <xf numFmtId="0" fontId="17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44" fontId="4" fillId="0" borderId="0" xfId="2" applyFont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0" borderId="7" xfId="0" applyFont="1" applyBorder="1"/>
    <xf numFmtId="14" fontId="6" fillId="10" borderId="3" xfId="0" applyNumberFormat="1" applyFont="1" applyFill="1" applyBorder="1" applyAlignment="1">
      <alignment horizontal="center" vertical="center"/>
    </xf>
    <xf numFmtId="0" fontId="6" fillId="11" borderId="0" xfId="0" applyFont="1" applyFill="1" applyAlignment="1">
      <alignment horizontal="center" vertical="center" textRotation="90"/>
    </xf>
    <xf numFmtId="0" fontId="7" fillId="11" borderId="3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6" fillId="0" borderId="0" xfId="0" applyFont="1" applyFill="1" applyAlignment="1">
      <alignment horizontal="center" vertical="center" textRotation="90"/>
    </xf>
    <xf numFmtId="0" fontId="6" fillId="0" borderId="3" xfId="0" applyFont="1" applyFill="1" applyBorder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0" fontId="6" fillId="10" borderId="0" xfId="0" applyFont="1" applyFill="1" applyAlignment="1">
      <alignment horizontal="center" vertical="center" textRotation="90"/>
    </xf>
    <xf numFmtId="0" fontId="6" fillId="0" borderId="3" xfId="0" applyFont="1" applyFill="1" applyBorder="1" applyAlignment="1">
      <alignment horizontal="left" vertical="center"/>
    </xf>
    <xf numFmtId="14" fontId="6" fillId="0" borderId="3" xfId="0" applyNumberFormat="1" applyFont="1" applyFill="1" applyBorder="1" applyAlignment="1">
      <alignment horizontal="center" vertical="center"/>
    </xf>
    <xf numFmtId="2" fontId="6" fillId="0" borderId="3" xfId="1" applyNumberFormat="1" applyFont="1" applyFill="1" applyBorder="1" applyAlignment="1">
      <alignment horizontal="center" vertical="center"/>
    </xf>
    <xf numFmtId="165" fontId="6" fillId="0" borderId="3" xfId="1" applyNumberFormat="1" applyFont="1" applyFill="1" applyBorder="1" applyAlignment="1">
      <alignment horizontal="center" vertical="center"/>
    </xf>
    <xf numFmtId="164" fontId="6" fillId="0" borderId="3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6" fillId="3" borderId="0" xfId="0" applyFont="1" applyFill="1" applyAlignment="1">
      <alignment horizontal="center" vertical="center" textRotation="90"/>
    </xf>
    <xf numFmtId="0" fontId="6" fillId="4" borderId="3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textRotation="90"/>
    </xf>
    <xf numFmtId="0" fontId="2" fillId="8" borderId="7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</cellXfs>
  <cellStyles count="3">
    <cellStyle name="Moeda" xfId="2" builtinId="4"/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228600</xdr:colOff>
      <xdr:row>1</xdr:row>
      <xdr:rowOff>123825</xdr:rowOff>
    </xdr:from>
    <xdr:to>
      <xdr:col>26</xdr:col>
      <xdr:colOff>179305</xdr:colOff>
      <xdr:row>22</xdr:row>
      <xdr:rowOff>47134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7362E71-4F24-4F6E-A3E3-5069EB1E4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14950" y="314325"/>
          <a:ext cx="13361905" cy="39238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1</xdr:row>
      <xdr:rowOff>114300</xdr:rowOff>
    </xdr:from>
    <xdr:to>
      <xdr:col>4</xdr:col>
      <xdr:colOff>866775</xdr:colOff>
      <xdr:row>3</xdr:row>
      <xdr:rowOff>85725</xdr:rowOff>
    </xdr:to>
    <xdr:sp macro="[0]!lsConexaoConsult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402E3DE-195B-4AD8-A97D-951050B3288A}"/>
            </a:ext>
          </a:extLst>
        </xdr:cNvPr>
        <xdr:cNvSpPr/>
      </xdr:nvSpPr>
      <xdr:spPr>
        <a:xfrm>
          <a:off x="4114800" y="304800"/>
          <a:ext cx="714375" cy="3524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+mj-lt"/>
            </a:rPr>
            <a:t>CONSULTAR</a:t>
          </a:r>
        </a:p>
      </xdr:txBody>
    </xdr:sp>
    <xdr:clientData/>
  </xdr:twoCellAnchor>
  <xdr:twoCellAnchor>
    <xdr:from>
      <xdr:col>4</xdr:col>
      <xdr:colOff>152400</xdr:colOff>
      <xdr:row>4</xdr:row>
      <xdr:rowOff>104775</xdr:rowOff>
    </xdr:from>
    <xdr:to>
      <xdr:col>4</xdr:col>
      <xdr:colOff>847725</xdr:colOff>
      <xdr:row>6</xdr:row>
      <xdr:rowOff>76200</xdr:rowOff>
    </xdr:to>
    <xdr:sp macro="[0]!abrirFormulari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D7D7C27-EDAF-41A4-B52C-E97281407542}"/>
            </a:ext>
          </a:extLst>
        </xdr:cNvPr>
        <xdr:cNvSpPr/>
      </xdr:nvSpPr>
      <xdr:spPr>
        <a:xfrm>
          <a:off x="4114800" y="866775"/>
          <a:ext cx="695325" cy="352425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bg1"/>
              </a:solidFill>
              <a:latin typeface="+mj-lt"/>
            </a:rPr>
            <a:t>INSERIR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40D58-D823-4055-A71E-8DE10DF5E750}">
  <sheetPr codeName="Planilha1"/>
  <dimension ref="A1:BC112"/>
  <sheetViews>
    <sheetView showGridLines="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A4" sqref="A4"/>
    </sheetView>
  </sheetViews>
  <sheetFormatPr defaultColWidth="12.7109375" defaultRowHeight="15" x14ac:dyDescent="0.25"/>
  <cols>
    <col min="1" max="2" width="12.7109375" style="12"/>
    <col min="3" max="4" width="12.7109375" style="13"/>
    <col min="5" max="51" width="12.7109375" style="12"/>
    <col min="52" max="16384" width="12.7109375" style="15"/>
  </cols>
  <sheetData>
    <row r="1" spans="1:55" s="14" customFormat="1" ht="105.75" customHeight="1" x14ac:dyDescent="0.25">
      <c r="A1" s="18" t="s">
        <v>90</v>
      </c>
      <c r="B1" s="19" t="s">
        <v>83</v>
      </c>
      <c r="C1" s="19" t="s">
        <v>60</v>
      </c>
      <c r="D1" s="19" t="s">
        <v>84</v>
      </c>
      <c r="E1" s="19" t="s">
        <v>1</v>
      </c>
      <c r="F1" s="18" t="s">
        <v>2</v>
      </c>
      <c r="G1" s="18" t="s">
        <v>3</v>
      </c>
      <c r="H1" s="18" t="s">
        <v>4</v>
      </c>
      <c r="I1" s="18" t="s">
        <v>5</v>
      </c>
      <c r="J1" s="18" t="s">
        <v>6</v>
      </c>
      <c r="K1" s="18" t="s">
        <v>7</v>
      </c>
      <c r="L1" s="18" t="s">
        <v>8</v>
      </c>
      <c r="M1" s="18" t="s">
        <v>18</v>
      </c>
      <c r="N1" s="18" t="s">
        <v>9</v>
      </c>
      <c r="O1" s="32" t="s">
        <v>78</v>
      </c>
      <c r="P1" s="32" t="s">
        <v>64</v>
      </c>
      <c r="Q1" s="32" t="s">
        <v>65</v>
      </c>
      <c r="R1" s="32" t="s">
        <v>66</v>
      </c>
      <c r="S1" s="32" t="s">
        <v>48</v>
      </c>
      <c r="T1" s="32" t="s">
        <v>44</v>
      </c>
      <c r="U1" s="18" t="s">
        <v>42</v>
      </c>
      <c r="V1" s="18" t="s">
        <v>43</v>
      </c>
      <c r="W1" s="18" t="s">
        <v>24</v>
      </c>
      <c r="X1" s="18" t="s">
        <v>25</v>
      </c>
      <c r="Y1" s="18" t="s">
        <v>26</v>
      </c>
      <c r="Z1" s="32" t="s">
        <v>93</v>
      </c>
      <c r="AA1" s="32" t="s">
        <v>94</v>
      </c>
      <c r="AB1" s="18" t="s">
        <v>14</v>
      </c>
      <c r="AC1" s="18" t="s">
        <v>100</v>
      </c>
      <c r="AD1" s="18" t="s">
        <v>11</v>
      </c>
      <c r="AE1" s="18" t="s">
        <v>12</v>
      </c>
      <c r="AF1" s="18" t="s">
        <v>13</v>
      </c>
      <c r="AG1" s="18" t="s">
        <v>19</v>
      </c>
      <c r="AH1" s="18" t="s">
        <v>21</v>
      </c>
      <c r="AI1" s="18" t="s">
        <v>20</v>
      </c>
      <c r="AJ1" s="18" t="s">
        <v>22</v>
      </c>
      <c r="AK1" s="59" t="s">
        <v>162</v>
      </c>
      <c r="AL1" s="18" t="s">
        <v>95</v>
      </c>
      <c r="AM1" s="18" t="s">
        <v>99</v>
      </c>
      <c r="AN1" s="59" t="s">
        <v>143</v>
      </c>
      <c r="AO1" s="59" t="s">
        <v>161</v>
      </c>
      <c r="AP1" s="18" t="s">
        <v>97</v>
      </c>
      <c r="AQ1" s="18" t="s">
        <v>45</v>
      </c>
      <c r="AR1" s="32" t="s">
        <v>82</v>
      </c>
      <c r="AS1" s="32" t="s">
        <v>79</v>
      </c>
      <c r="AT1" s="32" t="s">
        <v>80</v>
      </c>
      <c r="AU1" s="32" t="s">
        <v>81</v>
      </c>
      <c r="AV1" s="32" t="s">
        <v>92</v>
      </c>
      <c r="AW1" s="32" t="s">
        <v>15</v>
      </c>
      <c r="AX1" s="32" t="s">
        <v>16</v>
      </c>
      <c r="AY1" s="32" t="s">
        <v>17</v>
      </c>
    </row>
    <row r="2" spans="1:55" x14ac:dyDescent="0.25">
      <c r="A2" s="6">
        <v>1</v>
      </c>
      <c r="B2" s="10" t="s">
        <v>85</v>
      </c>
      <c r="C2" s="10" t="s">
        <v>29</v>
      </c>
      <c r="D2" s="10"/>
      <c r="E2" s="6"/>
      <c r="F2" s="6" t="s">
        <v>30</v>
      </c>
      <c r="G2" s="6" t="s">
        <v>31</v>
      </c>
      <c r="H2" s="6" t="s">
        <v>32</v>
      </c>
      <c r="I2" s="6" t="s">
        <v>32</v>
      </c>
      <c r="J2" s="6" t="s">
        <v>32</v>
      </c>
      <c r="K2" s="6" t="s">
        <v>33</v>
      </c>
      <c r="L2" s="6" t="s">
        <v>33</v>
      </c>
      <c r="M2" s="6" t="s">
        <v>31</v>
      </c>
      <c r="N2" s="6" t="s">
        <v>34</v>
      </c>
      <c r="O2" s="6" t="s">
        <v>33</v>
      </c>
      <c r="P2" s="6"/>
      <c r="Q2" s="6" t="s">
        <v>35</v>
      </c>
      <c r="R2" s="6" t="s">
        <v>35</v>
      </c>
      <c r="S2" s="6" t="s">
        <v>32</v>
      </c>
      <c r="T2" s="6" t="s">
        <v>33</v>
      </c>
      <c r="U2" s="28">
        <f>DADOS!C3</f>
        <v>42237</v>
      </c>
      <c r="V2" s="28">
        <f>DADOS!C4</f>
        <v>44103</v>
      </c>
      <c r="W2" s="6" t="s">
        <v>32</v>
      </c>
      <c r="X2" s="6" t="s">
        <v>32</v>
      </c>
      <c r="Y2" s="6" t="s">
        <v>32</v>
      </c>
      <c r="Z2" s="6" t="s">
        <v>33</v>
      </c>
      <c r="AA2" s="30"/>
      <c r="AB2" s="6" t="s">
        <v>33</v>
      </c>
      <c r="AC2" s="6" t="s">
        <v>36</v>
      </c>
      <c r="AD2" s="6" t="s">
        <v>37</v>
      </c>
      <c r="AE2" s="8"/>
      <c r="AF2" s="7">
        <v>1.5</v>
      </c>
      <c r="AG2" s="6" t="s">
        <v>38</v>
      </c>
      <c r="AH2" s="6"/>
      <c r="AI2" s="6"/>
      <c r="AJ2" s="8">
        <v>0</v>
      </c>
      <c r="AK2" s="6" t="s">
        <v>32</v>
      </c>
      <c r="AL2" s="6" t="s">
        <v>31</v>
      </c>
      <c r="AM2" s="6" t="s">
        <v>36</v>
      </c>
      <c r="AN2" s="30">
        <v>0</v>
      </c>
      <c r="AO2" s="6" t="s">
        <v>33</v>
      </c>
      <c r="AP2" s="31"/>
      <c r="AQ2" s="6"/>
      <c r="AR2" s="6" t="s">
        <v>32</v>
      </c>
      <c r="AS2" s="6" t="s">
        <v>32</v>
      </c>
      <c r="AT2" s="6" t="s">
        <v>32</v>
      </c>
      <c r="AU2" s="6" t="s">
        <v>32</v>
      </c>
      <c r="AV2" s="6" t="s">
        <v>32</v>
      </c>
      <c r="AW2" s="6"/>
      <c r="AX2" s="6"/>
      <c r="AY2" s="6"/>
    </row>
    <row r="3" spans="1:55" x14ac:dyDescent="0.25">
      <c r="A3" s="6">
        <v>2</v>
      </c>
      <c r="B3" s="10" t="s">
        <v>61</v>
      </c>
      <c r="C3" s="10" t="s">
        <v>61</v>
      </c>
      <c r="D3" s="10"/>
      <c r="E3" s="6"/>
      <c r="F3" s="6" t="s">
        <v>59</v>
      </c>
      <c r="G3" s="6" t="s">
        <v>31</v>
      </c>
      <c r="H3" s="6" t="s">
        <v>32</v>
      </c>
      <c r="I3" s="6" t="s">
        <v>32</v>
      </c>
      <c r="J3" s="6" t="s">
        <v>32</v>
      </c>
      <c r="K3" s="6" t="s">
        <v>33</v>
      </c>
      <c r="L3" s="6" t="s">
        <v>33</v>
      </c>
      <c r="M3" s="6" t="s">
        <v>31</v>
      </c>
      <c r="N3" s="6" t="s">
        <v>34</v>
      </c>
      <c r="O3" s="6" t="s">
        <v>33</v>
      </c>
      <c r="P3" s="6"/>
      <c r="Q3" s="6" t="s">
        <v>35</v>
      </c>
      <c r="R3" s="6" t="s">
        <v>35</v>
      </c>
      <c r="S3" s="6" t="s">
        <v>33</v>
      </c>
      <c r="T3" s="6" t="s">
        <v>33</v>
      </c>
      <c r="U3" s="57">
        <v>35184</v>
      </c>
      <c r="V3" s="57">
        <v>36676</v>
      </c>
      <c r="W3" s="6" t="s">
        <v>33</v>
      </c>
      <c r="X3" s="6" t="s">
        <v>32</v>
      </c>
      <c r="Y3" s="6" t="s">
        <v>32</v>
      </c>
      <c r="Z3" s="6" t="s">
        <v>33</v>
      </c>
      <c r="AA3" s="30"/>
      <c r="AB3" s="6" t="s">
        <v>33</v>
      </c>
      <c r="AC3" s="6" t="s">
        <v>36</v>
      </c>
      <c r="AD3" s="6" t="s">
        <v>38</v>
      </c>
      <c r="AE3" s="8">
        <v>1</v>
      </c>
      <c r="AF3" s="7">
        <v>1</v>
      </c>
      <c r="AG3" s="6" t="s">
        <v>38</v>
      </c>
      <c r="AH3" s="6"/>
      <c r="AI3" s="6"/>
      <c r="AJ3" s="8"/>
      <c r="AK3" s="6" t="s">
        <v>32</v>
      </c>
      <c r="AL3" s="6"/>
      <c r="AM3" s="6"/>
      <c r="AN3" s="30"/>
      <c r="AO3" s="6"/>
      <c r="AP3" s="31"/>
      <c r="AQ3" s="6"/>
      <c r="AR3" s="6" t="s">
        <v>33</v>
      </c>
      <c r="AS3" s="6" t="s">
        <v>33</v>
      </c>
      <c r="AT3" s="6" t="s">
        <v>33</v>
      </c>
      <c r="AU3" s="6" t="s">
        <v>33</v>
      </c>
      <c r="AV3" s="6" t="s">
        <v>33</v>
      </c>
      <c r="AW3" s="6"/>
      <c r="AX3" s="6"/>
      <c r="AY3" s="6"/>
    </row>
    <row r="4" spans="1:55" x14ac:dyDescent="0.25">
      <c r="A4" s="6">
        <v>3</v>
      </c>
      <c r="B4" s="10" t="s">
        <v>72</v>
      </c>
      <c r="C4" s="10" t="s">
        <v>62</v>
      </c>
      <c r="D4" s="10"/>
      <c r="E4" s="6"/>
      <c r="F4" s="6" t="s">
        <v>59</v>
      </c>
      <c r="G4" s="6" t="s">
        <v>63</v>
      </c>
      <c r="H4" s="6" t="s">
        <v>33</v>
      </c>
      <c r="I4" s="6" t="s">
        <v>33</v>
      </c>
      <c r="J4" s="6" t="s">
        <v>33</v>
      </c>
      <c r="K4" s="6" t="s">
        <v>33</v>
      </c>
      <c r="L4" s="6" t="s">
        <v>33</v>
      </c>
      <c r="M4" s="6" t="s">
        <v>31</v>
      </c>
      <c r="N4" s="6" t="s">
        <v>34</v>
      </c>
      <c r="O4" s="6" t="s">
        <v>33</v>
      </c>
      <c r="P4" s="6"/>
      <c r="Q4" s="6" t="s">
        <v>35</v>
      </c>
      <c r="R4" s="6" t="s">
        <v>35</v>
      </c>
      <c r="S4" s="6" t="s">
        <v>32</v>
      </c>
      <c r="T4" s="6" t="s">
        <v>33</v>
      </c>
      <c r="U4" s="57">
        <v>40339</v>
      </c>
      <c r="V4" s="57">
        <v>40704</v>
      </c>
      <c r="W4" s="6" t="s">
        <v>33</v>
      </c>
      <c r="X4" s="6" t="s">
        <v>33</v>
      </c>
      <c r="Y4" s="6" t="s">
        <v>33</v>
      </c>
      <c r="Z4" s="6"/>
      <c r="AA4" s="30">
        <v>0</v>
      </c>
      <c r="AB4" s="6" t="s">
        <v>33</v>
      </c>
      <c r="AC4" s="6"/>
      <c r="AD4" s="6"/>
      <c r="AE4" s="8"/>
      <c r="AF4" s="6"/>
      <c r="AG4" s="6"/>
      <c r="AH4" s="6"/>
      <c r="AI4" s="6"/>
      <c r="AJ4" s="8"/>
      <c r="AK4" s="6"/>
      <c r="AL4" s="6"/>
      <c r="AM4" s="6"/>
      <c r="AN4" s="30"/>
      <c r="AO4" s="6"/>
      <c r="AP4" s="31"/>
      <c r="AQ4" s="6"/>
      <c r="AR4" s="6"/>
      <c r="AS4" s="6"/>
      <c r="AT4" s="6"/>
      <c r="AU4" s="6"/>
      <c r="AV4" s="6"/>
      <c r="AW4" s="6"/>
      <c r="AX4" s="6"/>
      <c r="AY4" s="6"/>
    </row>
    <row r="5" spans="1:55" x14ac:dyDescent="0.25">
      <c r="A5" s="6"/>
      <c r="B5" s="10"/>
      <c r="C5" s="10"/>
      <c r="D5" s="10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30"/>
      <c r="AB5" s="6"/>
      <c r="AC5" s="6"/>
      <c r="AD5" s="6"/>
      <c r="AE5" s="8"/>
      <c r="AF5" s="6"/>
      <c r="AG5" s="6"/>
      <c r="AH5" s="6"/>
      <c r="AI5" s="6"/>
      <c r="AJ5" s="6"/>
      <c r="AK5" s="6"/>
      <c r="AL5" s="6"/>
      <c r="AM5" s="6"/>
      <c r="AN5" s="30"/>
      <c r="AO5" s="6"/>
      <c r="AP5" s="31"/>
      <c r="AQ5" s="6"/>
      <c r="AR5" s="6"/>
      <c r="AS5" s="6"/>
      <c r="AT5" s="6"/>
      <c r="AU5" s="6"/>
      <c r="AV5" s="6"/>
      <c r="AW5" s="6"/>
      <c r="AX5" s="6"/>
      <c r="AY5" s="6"/>
    </row>
    <row r="6" spans="1:55" x14ac:dyDescent="0.25">
      <c r="A6" s="6"/>
      <c r="B6" s="10"/>
      <c r="C6" s="10"/>
      <c r="D6" s="10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30"/>
      <c r="AB6" s="6"/>
      <c r="AC6" s="6"/>
      <c r="AD6" s="6"/>
      <c r="AE6" s="8"/>
      <c r="AF6" s="6"/>
      <c r="AG6" s="6"/>
      <c r="AH6" s="6"/>
      <c r="AI6" s="6"/>
      <c r="AJ6" s="6"/>
      <c r="AK6" s="6"/>
      <c r="AL6" s="6"/>
      <c r="AM6" s="6"/>
      <c r="AN6" s="30"/>
      <c r="AO6" s="6"/>
      <c r="AP6" s="31"/>
      <c r="AQ6" s="6"/>
      <c r="AR6" s="6"/>
      <c r="AS6" s="6"/>
      <c r="AT6" s="6"/>
      <c r="AU6" s="6"/>
      <c r="AV6" s="6"/>
      <c r="AW6" s="6"/>
      <c r="AX6" s="6"/>
      <c r="AY6" s="6"/>
    </row>
    <row r="7" spans="1:55" hidden="1" x14ac:dyDescent="0.25">
      <c r="A7" s="6"/>
      <c r="B7" s="10"/>
      <c r="C7" s="10"/>
      <c r="D7" s="10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30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30"/>
      <c r="AO7" s="6"/>
      <c r="AP7" s="31"/>
      <c r="AQ7" s="6"/>
      <c r="AR7" s="6"/>
      <c r="AS7" s="6"/>
      <c r="AT7" s="6"/>
      <c r="AU7" s="6"/>
      <c r="AV7" s="6"/>
      <c r="AW7" s="6"/>
      <c r="AX7" s="6"/>
      <c r="AY7" s="6"/>
    </row>
    <row r="8" spans="1:55" hidden="1" x14ac:dyDescent="0.25">
      <c r="A8" s="6"/>
      <c r="B8" s="10"/>
      <c r="C8" s="10"/>
      <c r="D8" s="10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30"/>
      <c r="AB8" s="6"/>
      <c r="AC8" s="6"/>
      <c r="AD8" s="6"/>
      <c r="AE8" s="6"/>
      <c r="AF8" s="9"/>
      <c r="AG8" s="6"/>
      <c r="AH8" s="6"/>
      <c r="AI8" s="6"/>
      <c r="AJ8" s="6"/>
      <c r="AK8" s="6"/>
      <c r="AL8" s="6"/>
      <c r="AM8" s="6"/>
      <c r="AN8" s="30"/>
      <c r="AO8" s="6"/>
      <c r="AP8" s="31"/>
      <c r="AQ8" s="6"/>
      <c r="AR8" s="6"/>
      <c r="AS8" s="6"/>
      <c r="AT8" s="6"/>
      <c r="AU8" s="6"/>
      <c r="AV8" s="6"/>
      <c r="AW8" s="6"/>
      <c r="AX8" s="6"/>
      <c r="AY8" s="6"/>
    </row>
    <row r="9" spans="1:55" hidden="1" x14ac:dyDescent="0.25">
      <c r="A9" s="6"/>
      <c r="B9" s="10"/>
      <c r="C9" s="10"/>
      <c r="D9" s="10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30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30"/>
      <c r="AO9" s="6"/>
      <c r="AP9" s="31"/>
      <c r="AQ9" s="6"/>
      <c r="AR9" s="6"/>
      <c r="AS9" s="6"/>
      <c r="AT9" s="6"/>
      <c r="AU9" s="6"/>
      <c r="AV9" s="6"/>
      <c r="AW9" s="6"/>
      <c r="AX9" s="6"/>
      <c r="AY9" s="6"/>
    </row>
    <row r="10" spans="1:55" hidden="1" x14ac:dyDescent="0.25">
      <c r="A10" s="6"/>
      <c r="B10" s="10"/>
      <c r="C10" s="10"/>
      <c r="D10" s="10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30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30"/>
      <c r="AO10" s="6"/>
      <c r="AP10" s="31"/>
      <c r="AQ10" s="6"/>
      <c r="AR10" s="6"/>
      <c r="AS10" s="6"/>
      <c r="AT10" s="6"/>
      <c r="AU10" s="6"/>
      <c r="AV10" s="6"/>
      <c r="AW10" s="6"/>
      <c r="AX10" s="6"/>
      <c r="AY10" s="6"/>
    </row>
    <row r="11" spans="1:55" hidden="1" x14ac:dyDescent="0.25">
      <c r="A11" s="6"/>
      <c r="B11" s="10"/>
      <c r="C11" s="10"/>
      <c r="D11" s="10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30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30"/>
      <c r="AO11" s="6"/>
      <c r="AP11" s="31"/>
      <c r="AQ11" s="6"/>
      <c r="AR11" s="6"/>
      <c r="AS11" s="6"/>
      <c r="AT11" s="6"/>
      <c r="AU11" s="6"/>
      <c r="AV11" s="6"/>
      <c r="AW11" s="6"/>
      <c r="AX11" s="6"/>
      <c r="AY11" s="6"/>
      <c r="BC11" s="14"/>
    </row>
    <row r="12" spans="1:55" hidden="1" x14ac:dyDescent="0.25">
      <c r="A12" s="6"/>
      <c r="B12" s="10"/>
      <c r="C12" s="10"/>
      <c r="D12" s="10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30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30"/>
      <c r="AO12" s="6"/>
      <c r="AP12" s="31"/>
      <c r="AQ12" s="6"/>
      <c r="AR12" s="6"/>
      <c r="AS12" s="6"/>
      <c r="AT12" s="6"/>
      <c r="AU12" s="6"/>
      <c r="AV12" s="6"/>
      <c r="AW12" s="6"/>
      <c r="AX12" s="6"/>
      <c r="AY12" s="6"/>
    </row>
    <row r="13" spans="1:55" hidden="1" x14ac:dyDescent="0.25">
      <c r="A13" s="6"/>
      <c r="B13" s="10"/>
      <c r="C13" s="10"/>
      <c r="D13" s="10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30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30"/>
      <c r="AO13" s="6"/>
      <c r="AP13" s="31"/>
      <c r="AQ13" s="6"/>
      <c r="AR13" s="6"/>
      <c r="AS13" s="6"/>
      <c r="AT13" s="6"/>
      <c r="AU13" s="6"/>
      <c r="AV13" s="6"/>
      <c r="AW13" s="6"/>
      <c r="AX13" s="6"/>
      <c r="AY13" s="6"/>
    </row>
    <row r="14" spans="1:55" hidden="1" x14ac:dyDescent="0.25">
      <c r="A14" s="6"/>
      <c r="B14" s="10"/>
      <c r="C14" s="10"/>
      <c r="D14" s="10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30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30"/>
      <c r="AO14" s="6"/>
      <c r="AP14" s="31"/>
      <c r="AQ14" s="6"/>
      <c r="AR14" s="6"/>
      <c r="AS14" s="6"/>
      <c r="AT14" s="6"/>
      <c r="AU14" s="6"/>
      <c r="AV14" s="6"/>
      <c r="AW14" s="6"/>
      <c r="AX14" s="6"/>
      <c r="AY14" s="6"/>
    </row>
    <row r="15" spans="1:55" hidden="1" x14ac:dyDescent="0.25">
      <c r="A15" s="6"/>
      <c r="B15" s="10"/>
      <c r="C15" s="10"/>
      <c r="D15" s="10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30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30"/>
      <c r="AO15" s="6"/>
      <c r="AP15" s="31"/>
      <c r="AQ15" s="6"/>
      <c r="AR15" s="6"/>
      <c r="AS15" s="6"/>
      <c r="AT15" s="6"/>
      <c r="AU15" s="6"/>
      <c r="AV15" s="6"/>
      <c r="AW15" s="6"/>
      <c r="AX15" s="6"/>
      <c r="AY15" s="6"/>
    </row>
    <row r="16" spans="1:55" hidden="1" x14ac:dyDescent="0.25">
      <c r="A16" s="6"/>
      <c r="B16" s="10"/>
      <c r="C16" s="10"/>
      <c r="D16" s="10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30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30"/>
      <c r="AO16" s="6"/>
      <c r="AP16" s="31"/>
      <c r="AQ16" s="6"/>
      <c r="AR16" s="6"/>
      <c r="AS16" s="6"/>
      <c r="AT16" s="6"/>
      <c r="AU16" s="6"/>
      <c r="AV16" s="6"/>
      <c r="AW16" s="6"/>
      <c r="AX16" s="6"/>
      <c r="AY16" s="6"/>
    </row>
    <row r="17" spans="1:51" hidden="1" x14ac:dyDescent="0.25">
      <c r="A17" s="6"/>
      <c r="B17" s="10"/>
      <c r="C17" s="10"/>
      <c r="D17" s="10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30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30"/>
      <c r="AO17" s="6"/>
      <c r="AP17" s="31"/>
      <c r="AQ17" s="6"/>
      <c r="AR17" s="6"/>
      <c r="AS17" s="6"/>
      <c r="AT17" s="6"/>
      <c r="AU17" s="6"/>
      <c r="AV17" s="6"/>
      <c r="AW17" s="6"/>
      <c r="AX17" s="6"/>
      <c r="AY17" s="6"/>
    </row>
    <row r="18" spans="1:51" hidden="1" x14ac:dyDescent="0.25">
      <c r="A18" s="6"/>
      <c r="B18" s="10"/>
      <c r="C18" s="10"/>
      <c r="D18" s="10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30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30"/>
      <c r="AO18" s="6"/>
      <c r="AP18" s="31"/>
      <c r="AQ18" s="6"/>
      <c r="AR18" s="6"/>
      <c r="AS18" s="6"/>
      <c r="AT18" s="6"/>
      <c r="AU18" s="6"/>
      <c r="AV18" s="6"/>
      <c r="AW18" s="6"/>
      <c r="AX18" s="6"/>
      <c r="AY18" s="6"/>
    </row>
    <row r="19" spans="1:51" hidden="1" x14ac:dyDescent="0.25">
      <c r="A19" s="6"/>
      <c r="B19" s="10"/>
      <c r="C19" s="10"/>
      <c r="D19" s="10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30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30"/>
      <c r="AO19" s="6"/>
      <c r="AP19" s="31"/>
      <c r="AQ19" s="6"/>
      <c r="AR19" s="6"/>
      <c r="AS19" s="6"/>
      <c r="AT19" s="6"/>
      <c r="AU19" s="6"/>
      <c r="AV19" s="6"/>
      <c r="AW19" s="6"/>
      <c r="AX19" s="6"/>
      <c r="AY19" s="6"/>
    </row>
    <row r="20" spans="1:51" hidden="1" x14ac:dyDescent="0.25">
      <c r="A20" s="6"/>
      <c r="B20" s="10"/>
      <c r="C20" s="10"/>
      <c r="D20" s="10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30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30"/>
      <c r="AO20" s="6"/>
      <c r="AP20" s="31"/>
      <c r="AQ20" s="6"/>
      <c r="AR20" s="6"/>
      <c r="AS20" s="6"/>
      <c r="AT20" s="6"/>
      <c r="AU20" s="6"/>
      <c r="AV20" s="6"/>
      <c r="AW20" s="6"/>
      <c r="AX20" s="6"/>
      <c r="AY20" s="6"/>
    </row>
    <row r="21" spans="1:51" hidden="1" x14ac:dyDescent="0.25">
      <c r="A21" s="6"/>
      <c r="B21" s="10"/>
      <c r="C21" s="10"/>
      <c r="D21" s="10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30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30"/>
      <c r="AO21" s="6"/>
      <c r="AP21" s="31"/>
      <c r="AQ21" s="6"/>
      <c r="AR21" s="6"/>
      <c r="AS21" s="6"/>
      <c r="AT21" s="6"/>
      <c r="AU21" s="6"/>
      <c r="AV21" s="6"/>
      <c r="AW21" s="6"/>
      <c r="AX21" s="6"/>
      <c r="AY21" s="6"/>
    </row>
    <row r="22" spans="1:51" hidden="1" x14ac:dyDescent="0.25">
      <c r="A22" s="6"/>
      <c r="B22" s="10"/>
      <c r="C22" s="10"/>
      <c r="D22" s="10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30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30"/>
      <c r="AO22" s="6"/>
      <c r="AP22" s="31"/>
      <c r="AQ22" s="6"/>
      <c r="AR22" s="6"/>
      <c r="AS22" s="6"/>
      <c r="AT22" s="6"/>
      <c r="AU22" s="6"/>
      <c r="AV22" s="6"/>
      <c r="AW22" s="6"/>
      <c r="AX22" s="6"/>
      <c r="AY22" s="6"/>
    </row>
    <row r="23" spans="1:51" hidden="1" x14ac:dyDescent="0.25">
      <c r="A23" s="6"/>
      <c r="B23" s="10"/>
      <c r="C23" s="10"/>
      <c r="D23" s="10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30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30"/>
      <c r="AO23" s="6"/>
      <c r="AP23" s="31"/>
      <c r="AQ23" s="6"/>
      <c r="AR23" s="6"/>
      <c r="AS23" s="6"/>
      <c r="AT23" s="6"/>
      <c r="AU23" s="6"/>
      <c r="AV23" s="6"/>
      <c r="AW23" s="6"/>
      <c r="AX23" s="6"/>
      <c r="AY23" s="6"/>
    </row>
    <row r="24" spans="1:51" hidden="1" x14ac:dyDescent="0.25">
      <c r="A24" s="6"/>
      <c r="B24" s="10"/>
      <c r="C24" s="10"/>
      <c r="D24" s="10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30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30"/>
      <c r="AO24" s="6"/>
      <c r="AP24" s="31"/>
      <c r="AQ24" s="6"/>
      <c r="AR24" s="6"/>
      <c r="AS24" s="6"/>
      <c r="AT24" s="6"/>
      <c r="AU24" s="6"/>
      <c r="AV24" s="6"/>
      <c r="AW24" s="6"/>
      <c r="AX24" s="6"/>
      <c r="AY24" s="6"/>
    </row>
    <row r="25" spans="1:51" hidden="1" x14ac:dyDescent="0.25">
      <c r="A25" s="6"/>
      <c r="B25" s="10"/>
      <c r="C25" s="10"/>
      <c r="D25" s="10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30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30"/>
      <c r="AO25" s="6"/>
      <c r="AP25" s="31"/>
      <c r="AQ25" s="6"/>
      <c r="AR25" s="6"/>
      <c r="AS25" s="6"/>
      <c r="AT25" s="6"/>
      <c r="AU25" s="6"/>
      <c r="AV25" s="6"/>
      <c r="AW25" s="6"/>
      <c r="AX25" s="6"/>
      <c r="AY25" s="6"/>
    </row>
    <row r="26" spans="1:51" hidden="1" x14ac:dyDescent="0.25">
      <c r="A26" s="6"/>
      <c r="B26" s="10"/>
      <c r="C26" s="10"/>
      <c r="D26" s="10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30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30"/>
      <c r="AO26" s="6"/>
      <c r="AP26" s="31"/>
      <c r="AQ26" s="6"/>
      <c r="AR26" s="6"/>
      <c r="AS26" s="6"/>
      <c r="AT26" s="6"/>
      <c r="AU26" s="6"/>
      <c r="AV26" s="6"/>
      <c r="AW26" s="6"/>
      <c r="AX26" s="6"/>
      <c r="AY26" s="6"/>
    </row>
    <row r="27" spans="1:51" hidden="1" x14ac:dyDescent="0.25">
      <c r="A27" s="6"/>
      <c r="B27" s="10"/>
      <c r="C27" s="10"/>
      <c r="D27" s="10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30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30"/>
      <c r="AO27" s="6"/>
      <c r="AP27" s="31"/>
      <c r="AQ27" s="6"/>
      <c r="AR27" s="6"/>
      <c r="AS27" s="6"/>
      <c r="AT27" s="6"/>
      <c r="AU27" s="6"/>
      <c r="AV27" s="6"/>
      <c r="AW27" s="6"/>
      <c r="AX27" s="6"/>
      <c r="AY27" s="6"/>
    </row>
    <row r="28" spans="1:51" hidden="1" x14ac:dyDescent="0.25">
      <c r="A28" s="6"/>
      <c r="B28" s="10"/>
      <c r="C28" s="10"/>
      <c r="D28" s="10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30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30"/>
      <c r="AO28" s="6"/>
      <c r="AP28" s="31"/>
      <c r="AQ28" s="6"/>
      <c r="AR28" s="6"/>
      <c r="AS28" s="6"/>
      <c r="AT28" s="6"/>
      <c r="AU28" s="6"/>
      <c r="AV28" s="6"/>
      <c r="AW28" s="6"/>
      <c r="AX28" s="6"/>
      <c r="AY28" s="6"/>
    </row>
    <row r="29" spans="1:51" hidden="1" x14ac:dyDescent="0.25">
      <c r="A29" s="6"/>
      <c r="B29" s="10"/>
      <c r="C29" s="10"/>
      <c r="D29" s="10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30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30"/>
      <c r="AO29" s="6"/>
      <c r="AP29" s="31"/>
      <c r="AQ29" s="6"/>
      <c r="AR29" s="6"/>
      <c r="AS29" s="6"/>
      <c r="AT29" s="6"/>
      <c r="AU29" s="6"/>
      <c r="AV29" s="6"/>
      <c r="AW29" s="6"/>
      <c r="AX29" s="6"/>
      <c r="AY29" s="6"/>
    </row>
    <row r="30" spans="1:51" hidden="1" x14ac:dyDescent="0.25">
      <c r="A30" s="6"/>
      <c r="B30" s="10"/>
      <c r="C30" s="10"/>
      <c r="D30" s="10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30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30"/>
      <c r="AO30" s="6"/>
      <c r="AP30" s="31"/>
      <c r="AQ30" s="6"/>
      <c r="AR30" s="6"/>
      <c r="AS30" s="6"/>
      <c r="AT30" s="6"/>
      <c r="AU30" s="6"/>
      <c r="AV30" s="6"/>
      <c r="AW30" s="6"/>
      <c r="AX30" s="6"/>
      <c r="AY30" s="6"/>
    </row>
    <row r="31" spans="1:51" hidden="1" x14ac:dyDescent="0.25">
      <c r="A31" s="6"/>
      <c r="B31" s="10"/>
      <c r="C31" s="10"/>
      <c r="D31" s="10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30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30"/>
      <c r="AO31" s="6"/>
      <c r="AP31" s="31"/>
      <c r="AQ31" s="6"/>
      <c r="AR31" s="6"/>
      <c r="AS31" s="6"/>
      <c r="AT31" s="6"/>
      <c r="AU31" s="6"/>
      <c r="AV31" s="6"/>
      <c r="AW31" s="6"/>
      <c r="AX31" s="6"/>
      <c r="AY31" s="6"/>
    </row>
    <row r="32" spans="1:51" hidden="1" x14ac:dyDescent="0.25">
      <c r="A32" s="6"/>
      <c r="B32" s="10"/>
      <c r="C32" s="10"/>
      <c r="D32" s="10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30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30"/>
      <c r="AO32" s="6"/>
      <c r="AP32" s="31"/>
      <c r="AQ32" s="6"/>
      <c r="AR32" s="6"/>
      <c r="AS32" s="6"/>
      <c r="AT32" s="6"/>
      <c r="AU32" s="6"/>
      <c r="AV32" s="6"/>
      <c r="AW32" s="6"/>
      <c r="AX32" s="6"/>
      <c r="AY32" s="6"/>
    </row>
    <row r="33" spans="1:51" hidden="1" x14ac:dyDescent="0.25">
      <c r="A33" s="6"/>
      <c r="B33" s="10"/>
      <c r="C33" s="10"/>
      <c r="D33" s="10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30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30"/>
      <c r="AO33" s="6"/>
      <c r="AP33" s="31"/>
      <c r="AQ33" s="6"/>
      <c r="AR33" s="6"/>
      <c r="AS33" s="6"/>
      <c r="AT33" s="6"/>
      <c r="AU33" s="6"/>
      <c r="AV33" s="6"/>
      <c r="AW33" s="6"/>
      <c r="AX33" s="6"/>
      <c r="AY33" s="6"/>
    </row>
    <row r="34" spans="1:51" hidden="1" x14ac:dyDescent="0.25">
      <c r="A34" s="6"/>
      <c r="B34" s="10"/>
      <c r="C34" s="10"/>
      <c r="D34" s="10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30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30"/>
      <c r="AO34" s="6"/>
      <c r="AP34" s="31"/>
      <c r="AQ34" s="6"/>
      <c r="AR34" s="6"/>
      <c r="AS34" s="6"/>
      <c r="AT34" s="6"/>
      <c r="AU34" s="6"/>
      <c r="AV34" s="6"/>
      <c r="AW34" s="6"/>
      <c r="AX34" s="6"/>
      <c r="AY34" s="6"/>
    </row>
    <row r="35" spans="1:51" hidden="1" x14ac:dyDescent="0.25">
      <c r="A35" s="6"/>
      <c r="B35" s="10"/>
      <c r="C35" s="10"/>
      <c r="D35" s="10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30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30"/>
      <c r="AO35" s="6"/>
      <c r="AP35" s="31"/>
      <c r="AQ35" s="6"/>
      <c r="AR35" s="6"/>
      <c r="AS35" s="6"/>
      <c r="AT35" s="6"/>
      <c r="AU35" s="6"/>
      <c r="AV35" s="6"/>
      <c r="AW35" s="6"/>
      <c r="AX35" s="6"/>
      <c r="AY35" s="6"/>
    </row>
    <row r="36" spans="1:51" hidden="1" x14ac:dyDescent="0.25">
      <c r="A36" s="6"/>
      <c r="B36" s="10"/>
      <c r="C36" s="10"/>
      <c r="D36" s="10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30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30"/>
      <c r="AO36" s="6"/>
      <c r="AP36" s="31"/>
      <c r="AQ36" s="6"/>
      <c r="AR36" s="6"/>
      <c r="AS36" s="6"/>
      <c r="AT36" s="6"/>
      <c r="AU36" s="6"/>
      <c r="AV36" s="6"/>
      <c r="AW36" s="6"/>
      <c r="AX36" s="6"/>
      <c r="AY36" s="6"/>
    </row>
    <row r="37" spans="1:51" hidden="1" x14ac:dyDescent="0.25">
      <c r="A37" s="6"/>
      <c r="B37" s="10"/>
      <c r="C37" s="10"/>
      <c r="D37" s="10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30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30"/>
      <c r="AO37" s="6"/>
      <c r="AP37" s="31"/>
      <c r="AQ37" s="6"/>
      <c r="AR37" s="6"/>
      <c r="AS37" s="6"/>
      <c r="AT37" s="6"/>
      <c r="AU37" s="6"/>
      <c r="AV37" s="6"/>
      <c r="AW37" s="6"/>
      <c r="AX37" s="6"/>
      <c r="AY37" s="6"/>
    </row>
    <row r="38" spans="1:51" hidden="1" x14ac:dyDescent="0.25">
      <c r="A38" s="6"/>
      <c r="B38" s="10"/>
      <c r="C38" s="10"/>
      <c r="D38" s="10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30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30"/>
      <c r="AO38" s="6"/>
      <c r="AP38" s="31"/>
      <c r="AQ38" s="6"/>
      <c r="AR38" s="6"/>
      <c r="AS38" s="6"/>
      <c r="AT38" s="6"/>
      <c r="AU38" s="6"/>
      <c r="AV38" s="6"/>
      <c r="AW38" s="6"/>
      <c r="AX38" s="6"/>
      <c r="AY38" s="6"/>
    </row>
    <row r="39" spans="1:51" hidden="1" x14ac:dyDescent="0.25">
      <c r="A39" s="6"/>
      <c r="B39" s="10"/>
      <c r="C39" s="10"/>
      <c r="D39" s="10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30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30"/>
      <c r="AO39" s="6"/>
      <c r="AP39" s="31"/>
      <c r="AQ39" s="6"/>
      <c r="AR39" s="6"/>
      <c r="AS39" s="6"/>
      <c r="AT39" s="6"/>
      <c r="AU39" s="6"/>
      <c r="AV39" s="6"/>
      <c r="AW39" s="6"/>
      <c r="AX39" s="6"/>
      <c r="AY39" s="6"/>
    </row>
    <row r="40" spans="1:51" hidden="1" x14ac:dyDescent="0.25">
      <c r="A40" s="6"/>
      <c r="B40" s="10"/>
      <c r="C40" s="10"/>
      <c r="D40" s="10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30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30"/>
      <c r="AO40" s="6"/>
      <c r="AP40" s="31"/>
      <c r="AQ40" s="6"/>
      <c r="AR40" s="6"/>
      <c r="AS40" s="6"/>
      <c r="AT40" s="6"/>
      <c r="AU40" s="6"/>
      <c r="AV40" s="6"/>
      <c r="AW40" s="6"/>
      <c r="AX40" s="6"/>
      <c r="AY40" s="6"/>
    </row>
    <row r="41" spans="1:51" hidden="1" x14ac:dyDescent="0.25">
      <c r="A41" s="6"/>
      <c r="B41" s="10"/>
      <c r="C41" s="10"/>
      <c r="D41" s="10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30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30"/>
      <c r="AO41" s="6"/>
      <c r="AP41" s="31"/>
      <c r="AQ41" s="6"/>
      <c r="AR41" s="6"/>
      <c r="AS41" s="6"/>
      <c r="AT41" s="6"/>
      <c r="AU41" s="6"/>
      <c r="AV41" s="6"/>
      <c r="AW41" s="6"/>
      <c r="AX41" s="6"/>
      <c r="AY41" s="6"/>
    </row>
    <row r="42" spans="1:51" hidden="1" x14ac:dyDescent="0.25">
      <c r="A42" s="6"/>
      <c r="B42" s="10"/>
      <c r="C42" s="10"/>
      <c r="D42" s="10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30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30"/>
      <c r="AO42" s="6"/>
      <c r="AP42" s="31"/>
      <c r="AQ42" s="6"/>
      <c r="AR42" s="6"/>
      <c r="AS42" s="6"/>
      <c r="AT42" s="6"/>
      <c r="AU42" s="6"/>
      <c r="AV42" s="6"/>
      <c r="AW42" s="6"/>
      <c r="AX42" s="6"/>
      <c r="AY42" s="6"/>
    </row>
    <row r="43" spans="1:51" hidden="1" x14ac:dyDescent="0.25">
      <c r="A43" s="6"/>
      <c r="B43" s="10"/>
      <c r="C43" s="10"/>
      <c r="D43" s="10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30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30"/>
      <c r="AO43" s="6"/>
      <c r="AP43" s="31"/>
      <c r="AQ43" s="6"/>
      <c r="AR43" s="6"/>
      <c r="AS43" s="6"/>
      <c r="AT43" s="6"/>
      <c r="AU43" s="6"/>
      <c r="AV43" s="6"/>
      <c r="AW43" s="6"/>
      <c r="AX43" s="6"/>
      <c r="AY43" s="6"/>
    </row>
    <row r="44" spans="1:51" hidden="1" x14ac:dyDescent="0.25">
      <c r="A44" s="6"/>
      <c r="B44" s="10"/>
      <c r="C44" s="10"/>
      <c r="D44" s="10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30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30"/>
      <c r="AO44" s="6"/>
      <c r="AP44" s="31"/>
      <c r="AQ44" s="6"/>
      <c r="AR44" s="6"/>
      <c r="AS44" s="6"/>
      <c r="AT44" s="6"/>
      <c r="AU44" s="6"/>
      <c r="AV44" s="6"/>
      <c r="AW44" s="6"/>
      <c r="AX44" s="6"/>
      <c r="AY44" s="6"/>
    </row>
    <row r="45" spans="1:51" hidden="1" x14ac:dyDescent="0.25">
      <c r="A45" s="6"/>
      <c r="B45" s="10"/>
      <c r="C45" s="10"/>
      <c r="D45" s="10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30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30"/>
      <c r="AO45" s="6"/>
      <c r="AP45" s="31"/>
      <c r="AQ45" s="6"/>
      <c r="AR45" s="6"/>
      <c r="AS45" s="6"/>
      <c r="AT45" s="6"/>
      <c r="AU45" s="6"/>
      <c r="AV45" s="6"/>
      <c r="AW45" s="6"/>
      <c r="AX45" s="6"/>
      <c r="AY45" s="6"/>
    </row>
    <row r="46" spans="1:51" hidden="1" x14ac:dyDescent="0.25">
      <c r="A46" s="6"/>
      <c r="B46" s="10"/>
      <c r="C46" s="10"/>
      <c r="D46" s="10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30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30"/>
      <c r="AO46" s="6"/>
      <c r="AP46" s="31"/>
      <c r="AQ46" s="6"/>
      <c r="AR46" s="6"/>
      <c r="AS46" s="6"/>
      <c r="AT46" s="6"/>
      <c r="AU46" s="6"/>
      <c r="AV46" s="6"/>
      <c r="AW46" s="6"/>
      <c r="AX46" s="6"/>
      <c r="AY46" s="6"/>
    </row>
    <row r="47" spans="1:51" hidden="1" x14ac:dyDescent="0.25">
      <c r="A47" s="6"/>
      <c r="B47" s="10"/>
      <c r="C47" s="10"/>
      <c r="D47" s="10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30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30"/>
      <c r="AO47" s="6"/>
      <c r="AP47" s="31"/>
      <c r="AQ47" s="6"/>
      <c r="AR47" s="6"/>
      <c r="AS47" s="6"/>
      <c r="AT47" s="6"/>
      <c r="AU47" s="6"/>
      <c r="AV47" s="6"/>
      <c r="AW47" s="6"/>
      <c r="AX47" s="6"/>
      <c r="AY47" s="6"/>
    </row>
    <row r="48" spans="1:51" hidden="1" x14ac:dyDescent="0.25">
      <c r="A48" s="6"/>
      <c r="B48" s="10"/>
      <c r="C48" s="10"/>
      <c r="D48" s="10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30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30"/>
      <c r="AO48" s="6"/>
      <c r="AP48" s="31"/>
      <c r="AQ48" s="6"/>
      <c r="AR48" s="6"/>
      <c r="AS48" s="6"/>
      <c r="AT48" s="6"/>
      <c r="AU48" s="6"/>
      <c r="AV48" s="6"/>
      <c r="AW48" s="6"/>
      <c r="AX48" s="6"/>
      <c r="AY48" s="6"/>
    </row>
    <row r="49" spans="1:51" hidden="1" x14ac:dyDescent="0.25">
      <c r="A49" s="6"/>
      <c r="B49" s="10"/>
      <c r="C49" s="10"/>
      <c r="D49" s="10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30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30"/>
      <c r="AO49" s="6"/>
      <c r="AP49" s="31"/>
      <c r="AQ49" s="6"/>
      <c r="AR49" s="6"/>
      <c r="AS49" s="6"/>
      <c r="AT49" s="6"/>
      <c r="AU49" s="6"/>
      <c r="AV49" s="6"/>
      <c r="AW49" s="6"/>
      <c r="AX49" s="6"/>
      <c r="AY49" s="6"/>
    </row>
    <row r="50" spans="1:51" hidden="1" x14ac:dyDescent="0.25">
      <c r="A50" s="6"/>
      <c r="B50" s="10"/>
      <c r="C50" s="10"/>
      <c r="D50" s="10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30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30"/>
      <c r="AO50" s="6"/>
      <c r="AP50" s="31"/>
      <c r="AQ50" s="6"/>
      <c r="AR50" s="6"/>
      <c r="AS50" s="6"/>
      <c r="AT50" s="6"/>
      <c r="AU50" s="6"/>
      <c r="AV50" s="6"/>
      <c r="AW50" s="6"/>
      <c r="AX50" s="6"/>
      <c r="AY50" s="6"/>
    </row>
    <row r="51" spans="1:51" hidden="1" x14ac:dyDescent="0.25">
      <c r="A51" s="6"/>
      <c r="B51" s="10"/>
      <c r="C51" s="10"/>
      <c r="D51" s="10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30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30"/>
      <c r="AO51" s="6"/>
      <c r="AP51" s="31"/>
      <c r="AQ51" s="6"/>
      <c r="AR51" s="6"/>
      <c r="AS51" s="6"/>
      <c r="AT51" s="6"/>
      <c r="AU51" s="6"/>
      <c r="AV51" s="6"/>
      <c r="AW51" s="6"/>
      <c r="AX51" s="6"/>
      <c r="AY51" s="6"/>
    </row>
    <row r="52" spans="1:51" hidden="1" x14ac:dyDescent="0.25">
      <c r="A52" s="6"/>
      <c r="B52" s="10"/>
      <c r="C52" s="10"/>
      <c r="D52" s="10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30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30"/>
      <c r="AO52" s="6"/>
      <c r="AP52" s="31"/>
      <c r="AQ52" s="6"/>
      <c r="AR52" s="6"/>
      <c r="AS52" s="6"/>
      <c r="AT52" s="6"/>
      <c r="AU52" s="6"/>
      <c r="AV52" s="6"/>
      <c r="AW52" s="6"/>
      <c r="AX52" s="6"/>
      <c r="AY52" s="6"/>
    </row>
    <row r="53" spans="1:51" hidden="1" x14ac:dyDescent="0.25">
      <c r="A53" s="6"/>
      <c r="B53" s="10"/>
      <c r="C53" s="10"/>
      <c r="D53" s="10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30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30"/>
      <c r="AO53" s="6"/>
      <c r="AP53" s="31"/>
      <c r="AQ53" s="6"/>
      <c r="AR53" s="6"/>
      <c r="AS53" s="6"/>
      <c r="AT53" s="6"/>
      <c r="AU53" s="6"/>
      <c r="AV53" s="6"/>
      <c r="AW53" s="6"/>
      <c r="AX53" s="6"/>
      <c r="AY53" s="6"/>
    </row>
    <row r="54" spans="1:51" hidden="1" x14ac:dyDescent="0.25">
      <c r="A54" s="6"/>
      <c r="B54" s="10"/>
      <c r="C54" s="10"/>
      <c r="D54" s="10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30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30"/>
      <c r="AO54" s="6"/>
      <c r="AP54" s="31"/>
      <c r="AQ54" s="6"/>
      <c r="AR54" s="6"/>
      <c r="AS54" s="6"/>
      <c r="AT54" s="6"/>
      <c r="AU54" s="6"/>
      <c r="AV54" s="6"/>
      <c r="AW54" s="6"/>
      <c r="AX54" s="6"/>
      <c r="AY54" s="6"/>
    </row>
    <row r="55" spans="1:51" hidden="1" x14ac:dyDescent="0.25">
      <c r="A55" s="6"/>
      <c r="B55" s="10"/>
      <c r="C55" s="10"/>
      <c r="D55" s="10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30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30"/>
      <c r="AO55" s="6"/>
      <c r="AP55" s="31"/>
      <c r="AQ55" s="6"/>
      <c r="AR55" s="6"/>
      <c r="AS55" s="6"/>
      <c r="AT55" s="6"/>
      <c r="AU55" s="6"/>
      <c r="AV55" s="6"/>
      <c r="AW55" s="6"/>
      <c r="AX55" s="6"/>
      <c r="AY55" s="6"/>
    </row>
    <row r="56" spans="1:51" hidden="1" x14ac:dyDescent="0.25">
      <c r="A56" s="6"/>
      <c r="B56" s="10"/>
      <c r="C56" s="10"/>
      <c r="D56" s="10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30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30"/>
      <c r="AO56" s="6"/>
      <c r="AP56" s="31"/>
      <c r="AQ56" s="6"/>
      <c r="AR56" s="6"/>
      <c r="AS56" s="6"/>
      <c r="AT56" s="6"/>
      <c r="AU56" s="6"/>
      <c r="AV56" s="6"/>
      <c r="AW56" s="6"/>
      <c r="AX56" s="6"/>
      <c r="AY56" s="6"/>
    </row>
    <row r="57" spans="1:51" hidden="1" x14ac:dyDescent="0.25">
      <c r="A57" s="6"/>
      <c r="B57" s="10"/>
      <c r="C57" s="10"/>
      <c r="D57" s="10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30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30"/>
      <c r="AO57" s="6"/>
      <c r="AP57" s="31"/>
      <c r="AQ57" s="6"/>
      <c r="AR57" s="6"/>
      <c r="AS57" s="6"/>
      <c r="AT57" s="6"/>
      <c r="AU57" s="6"/>
      <c r="AV57" s="6"/>
      <c r="AW57" s="6"/>
      <c r="AX57" s="6"/>
      <c r="AY57" s="6"/>
    </row>
    <row r="58" spans="1:51" hidden="1" x14ac:dyDescent="0.25">
      <c r="A58" s="6"/>
      <c r="B58" s="10"/>
      <c r="C58" s="10"/>
      <c r="D58" s="10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30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30"/>
      <c r="AO58" s="6"/>
      <c r="AP58" s="31"/>
      <c r="AQ58" s="6"/>
      <c r="AR58" s="6"/>
      <c r="AS58" s="6"/>
      <c r="AT58" s="6"/>
      <c r="AU58" s="6"/>
      <c r="AV58" s="6"/>
      <c r="AW58" s="6"/>
      <c r="AX58" s="6"/>
      <c r="AY58" s="6"/>
    </row>
    <row r="59" spans="1:51" hidden="1" x14ac:dyDescent="0.25">
      <c r="A59" s="6"/>
      <c r="B59" s="10"/>
      <c r="C59" s="10"/>
      <c r="D59" s="10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30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30"/>
      <c r="AO59" s="6"/>
      <c r="AP59" s="31"/>
      <c r="AQ59" s="6"/>
      <c r="AR59" s="6"/>
      <c r="AS59" s="6"/>
      <c r="AT59" s="6"/>
      <c r="AU59" s="6"/>
      <c r="AV59" s="6"/>
      <c r="AW59" s="6"/>
      <c r="AX59" s="6"/>
      <c r="AY59" s="6"/>
    </row>
    <row r="60" spans="1:51" hidden="1" x14ac:dyDescent="0.25">
      <c r="A60" s="6"/>
      <c r="B60" s="10"/>
      <c r="C60" s="10"/>
      <c r="D60" s="10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30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30"/>
      <c r="AO60" s="6"/>
      <c r="AP60" s="31"/>
      <c r="AQ60" s="6"/>
      <c r="AR60" s="6"/>
      <c r="AS60" s="6"/>
      <c r="AT60" s="6"/>
      <c r="AU60" s="6"/>
      <c r="AV60" s="6"/>
      <c r="AW60" s="6"/>
      <c r="AX60" s="6"/>
      <c r="AY60" s="6"/>
    </row>
    <row r="61" spans="1:51" hidden="1" x14ac:dyDescent="0.25">
      <c r="A61" s="6"/>
      <c r="B61" s="10"/>
      <c r="C61" s="10"/>
      <c r="D61" s="10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30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30"/>
      <c r="AO61" s="6"/>
      <c r="AP61" s="31"/>
      <c r="AQ61" s="6"/>
      <c r="AR61" s="6"/>
      <c r="AS61" s="6"/>
      <c r="AT61" s="6"/>
      <c r="AU61" s="6"/>
      <c r="AV61" s="6"/>
      <c r="AW61" s="6"/>
      <c r="AX61" s="6"/>
      <c r="AY61" s="6"/>
    </row>
    <row r="62" spans="1:51" hidden="1" x14ac:dyDescent="0.25">
      <c r="A62" s="6"/>
      <c r="B62" s="10"/>
      <c r="C62" s="10"/>
      <c r="D62" s="10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30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30"/>
      <c r="AO62" s="6"/>
      <c r="AP62" s="31"/>
      <c r="AQ62" s="6"/>
      <c r="AR62" s="6"/>
      <c r="AS62" s="6"/>
      <c r="AT62" s="6"/>
      <c r="AU62" s="6"/>
      <c r="AV62" s="6"/>
      <c r="AW62" s="6"/>
      <c r="AX62" s="6"/>
      <c r="AY62" s="6"/>
    </row>
    <row r="63" spans="1:51" hidden="1" x14ac:dyDescent="0.25">
      <c r="A63" s="6"/>
      <c r="B63" s="10"/>
      <c r="C63" s="10"/>
      <c r="D63" s="10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30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30"/>
      <c r="AO63" s="6"/>
      <c r="AP63" s="31"/>
      <c r="AQ63" s="6"/>
      <c r="AR63" s="6"/>
      <c r="AS63" s="6"/>
      <c r="AT63" s="6"/>
      <c r="AU63" s="6"/>
      <c r="AV63" s="6"/>
      <c r="AW63" s="6"/>
      <c r="AX63" s="6"/>
      <c r="AY63" s="6"/>
    </row>
    <row r="64" spans="1:51" hidden="1" x14ac:dyDescent="0.25">
      <c r="A64" s="6"/>
      <c r="B64" s="10"/>
      <c r="C64" s="10"/>
      <c r="D64" s="10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30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30"/>
      <c r="AO64" s="6"/>
      <c r="AP64" s="31"/>
      <c r="AQ64" s="6"/>
      <c r="AR64" s="6"/>
      <c r="AS64" s="6"/>
      <c r="AT64" s="6"/>
      <c r="AU64" s="6"/>
      <c r="AV64" s="6"/>
      <c r="AW64" s="6"/>
      <c r="AX64" s="6"/>
      <c r="AY64" s="6"/>
    </row>
    <row r="65" spans="1:51" hidden="1" x14ac:dyDescent="0.25">
      <c r="A65" s="6"/>
      <c r="B65" s="10"/>
      <c r="C65" s="10"/>
      <c r="D65" s="10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30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30"/>
      <c r="AO65" s="6"/>
      <c r="AP65" s="31"/>
      <c r="AQ65" s="6"/>
      <c r="AR65" s="6"/>
      <c r="AS65" s="6"/>
      <c r="AT65" s="6"/>
      <c r="AU65" s="6"/>
      <c r="AV65" s="6"/>
      <c r="AW65" s="6"/>
      <c r="AX65" s="6"/>
      <c r="AY65" s="6"/>
    </row>
    <row r="66" spans="1:51" hidden="1" x14ac:dyDescent="0.25">
      <c r="A66" s="6"/>
      <c r="B66" s="10"/>
      <c r="C66" s="10"/>
      <c r="D66" s="10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30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30"/>
      <c r="AO66" s="6"/>
      <c r="AP66" s="31"/>
      <c r="AQ66" s="6"/>
      <c r="AR66" s="6"/>
      <c r="AS66" s="6"/>
      <c r="AT66" s="6"/>
      <c r="AU66" s="6"/>
      <c r="AV66" s="6"/>
      <c r="AW66" s="6"/>
      <c r="AX66" s="6"/>
      <c r="AY66" s="6"/>
    </row>
    <row r="67" spans="1:51" hidden="1" x14ac:dyDescent="0.25">
      <c r="A67" s="6"/>
      <c r="B67" s="10"/>
      <c r="C67" s="10"/>
      <c r="D67" s="10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30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30"/>
      <c r="AO67" s="6"/>
      <c r="AP67" s="31"/>
      <c r="AQ67" s="6"/>
      <c r="AR67" s="6"/>
      <c r="AS67" s="6"/>
      <c r="AT67" s="6"/>
      <c r="AU67" s="6"/>
      <c r="AV67" s="6"/>
      <c r="AW67" s="6"/>
      <c r="AX67" s="6"/>
      <c r="AY67" s="6"/>
    </row>
    <row r="68" spans="1:51" hidden="1" x14ac:dyDescent="0.25">
      <c r="A68" s="6"/>
      <c r="B68" s="10"/>
      <c r="C68" s="10"/>
      <c r="D68" s="10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30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30"/>
      <c r="AO68" s="6"/>
      <c r="AP68" s="31"/>
      <c r="AQ68" s="6"/>
      <c r="AR68" s="6"/>
      <c r="AS68" s="6"/>
      <c r="AT68" s="6"/>
      <c r="AU68" s="6"/>
      <c r="AV68" s="6"/>
      <c r="AW68" s="6"/>
      <c r="AX68" s="6"/>
      <c r="AY68" s="6"/>
    </row>
    <row r="69" spans="1:51" hidden="1" x14ac:dyDescent="0.25">
      <c r="A69" s="6"/>
      <c r="B69" s="10"/>
      <c r="C69" s="10"/>
      <c r="D69" s="10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30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30"/>
      <c r="AO69" s="6"/>
      <c r="AP69" s="31"/>
      <c r="AQ69" s="6"/>
      <c r="AR69" s="6"/>
      <c r="AS69" s="6"/>
      <c r="AT69" s="6"/>
      <c r="AU69" s="6"/>
      <c r="AV69" s="6"/>
      <c r="AW69" s="6"/>
      <c r="AX69" s="6"/>
      <c r="AY69" s="6"/>
    </row>
    <row r="70" spans="1:51" hidden="1" x14ac:dyDescent="0.25">
      <c r="A70" s="6"/>
      <c r="B70" s="10"/>
      <c r="C70" s="10"/>
      <c r="D70" s="10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30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30"/>
      <c r="AO70" s="6"/>
      <c r="AP70" s="31"/>
      <c r="AQ70" s="6"/>
      <c r="AR70" s="6"/>
      <c r="AS70" s="6"/>
      <c r="AT70" s="6"/>
      <c r="AU70" s="6"/>
      <c r="AV70" s="6"/>
      <c r="AW70" s="6"/>
      <c r="AX70" s="6"/>
      <c r="AY70" s="6"/>
    </row>
    <row r="71" spans="1:51" hidden="1" x14ac:dyDescent="0.25">
      <c r="A71" s="6"/>
      <c r="B71" s="10"/>
      <c r="C71" s="10"/>
      <c r="D71" s="10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30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30"/>
      <c r="AO71" s="6"/>
      <c r="AP71" s="31"/>
      <c r="AQ71" s="6"/>
      <c r="AR71" s="6"/>
      <c r="AS71" s="6"/>
      <c r="AT71" s="6"/>
      <c r="AU71" s="6"/>
      <c r="AV71" s="6"/>
      <c r="AW71" s="6"/>
      <c r="AX71" s="6"/>
      <c r="AY71" s="6"/>
    </row>
    <row r="72" spans="1:51" hidden="1" x14ac:dyDescent="0.25">
      <c r="A72" s="6"/>
      <c r="B72" s="10"/>
      <c r="C72" s="10"/>
      <c r="D72" s="10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30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30"/>
      <c r="AO72" s="6"/>
      <c r="AP72" s="31"/>
      <c r="AQ72" s="6"/>
      <c r="AR72" s="6"/>
      <c r="AS72" s="6"/>
      <c r="AT72" s="6"/>
      <c r="AU72" s="6"/>
      <c r="AV72" s="6"/>
      <c r="AW72" s="6"/>
      <c r="AX72" s="6"/>
      <c r="AY72" s="6"/>
    </row>
    <row r="73" spans="1:51" hidden="1" x14ac:dyDescent="0.25">
      <c r="A73" s="6"/>
      <c r="B73" s="10"/>
      <c r="C73" s="10"/>
      <c r="D73" s="10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30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30"/>
      <c r="AO73" s="6"/>
      <c r="AP73" s="31"/>
      <c r="AQ73" s="6"/>
      <c r="AR73" s="6"/>
      <c r="AS73" s="6"/>
      <c r="AT73" s="6"/>
      <c r="AU73" s="6"/>
      <c r="AV73" s="6"/>
      <c r="AW73" s="6"/>
      <c r="AX73" s="6"/>
      <c r="AY73" s="6"/>
    </row>
    <row r="74" spans="1:51" hidden="1" x14ac:dyDescent="0.25">
      <c r="A74" s="6"/>
      <c r="B74" s="10"/>
      <c r="C74" s="10"/>
      <c r="D74" s="10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30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30"/>
      <c r="AO74" s="6"/>
      <c r="AP74" s="31"/>
      <c r="AQ74" s="6"/>
      <c r="AR74" s="6"/>
      <c r="AS74" s="6"/>
      <c r="AT74" s="6"/>
      <c r="AU74" s="6"/>
      <c r="AV74" s="6"/>
      <c r="AW74" s="6"/>
      <c r="AX74" s="6"/>
      <c r="AY74" s="6"/>
    </row>
    <row r="75" spans="1:51" hidden="1" x14ac:dyDescent="0.25">
      <c r="A75" s="6"/>
      <c r="B75" s="10"/>
      <c r="C75" s="10"/>
      <c r="D75" s="10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30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30"/>
      <c r="AO75" s="6"/>
      <c r="AP75" s="31"/>
      <c r="AQ75" s="6"/>
      <c r="AR75" s="6"/>
      <c r="AS75" s="6"/>
      <c r="AT75" s="6"/>
      <c r="AU75" s="6"/>
      <c r="AV75" s="6"/>
      <c r="AW75" s="6"/>
      <c r="AX75" s="6"/>
      <c r="AY75" s="6"/>
    </row>
    <row r="76" spans="1:51" hidden="1" x14ac:dyDescent="0.25">
      <c r="A76" s="6"/>
      <c r="B76" s="10"/>
      <c r="C76" s="10"/>
      <c r="D76" s="10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30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30"/>
      <c r="AO76" s="6"/>
      <c r="AP76" s="31"/>
      <c r="AQ76" s="6"/>
      <c r="AR76" s="6"/>
      <c r="AS76" s="6"/>
      <c r="AT76" s="6"/>
      <c r="AU76" s="6"/>
      <c r="AV76" s="6"/>
      <c r="AW76" s="6"/>
      <c r="AX76" s="6"/>
      <c r="AY76" s="6"/>
    </row>
    <row r="77" spans="1:51" hidden="1" x14ac:dyDescent="0.25">
      <c r="A77" s="6"/>
      <c r="B77" s="10"/>
      <c r="C77" s="10"/>
      <c r="D77" s="10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30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30"/>
      <c r="AO77" s="6"/>
      <c r="AP77" s="31"/>
      <c r="AQ77" s="6"/>
      <c r="AR77" s="6"/>
      <c r="AS77" s="6"/>
      <c r="AT77" s="6"/>
      <c r="AU77" s="6"/>
      <c r="AV77" s="6"/>
      <c r="AW77" s="6"/>
      <c r="AX77" s="6"/>
      <c r="AY77" s="6"/>
    </row>
    <row r="78" spans="1:51" hidden="1" x14ac:dyDescent="0.25">
      <c r="A78" s="6"/>
      <c r="B78" s="10"/>
      <c r="C78" s="10"/>
      <c r="D78" s="10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30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30"/>
      <c r="AO78" s="6"/>
      <c r="AP78" s="31"/>
      <c r="AQ78" s="6"/>
      <c r="AR78" s="6"/>
      <c r="AS78" s="6"/>
      <c r="AT78" s="6"/>
      <c r="AU78" s="6"/>
      <c r="AV78" s="6"/>
      <c r="AW78" s="6"/>
      <c r="AX78" s="6"/>
      <c r="AY78" s="6"/>
    </row>
    <row r="79" spans="1:51" hidden="1" x14ac:dyDescent="0.25">
      <c r="A79" s="6"/>
      <c r="B79" s="10"/>
      <c r="C79" s="10"/>
      <c r="D79" s="10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30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30"/>
      <c r="AO79" s="6"/>
      <c r="AP79" s="31"/>
      <c r="AQ79" s="6"/>
      <c r="AR79" s="6"/>
      <c r="AS79" s="6"/>
      <c r="AT79" s="6"/>
      <c r="AU79" s="6"/>
      <c r="AV79" s="6"/>
      <c r="AW79" s="6"/>
      <c r="AX79" s="6"/>
      <c r="AY79" s="6"/>
    </row>
    <row r="80" spans="1:51" hidden="1" x14ac:dyDescent="0.25">
      <c r="A80" s="6"/>
      <c r="B80" s="10"/>
      <c r="C80" s="10"/>
      <c r="D80" s="10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30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30"/>
      <c r="AO80" s="6"/>
      <c r="AP80" s="31"/>
      <c r="AQ80" s="6"/>
      <c r="AR80" s="6"/>
      <c r="AS80" s="6"/>
      <c r="AT80" s="6"/>
      <c r="AU80" s="6"/>
      <c r="AV80" s="6"/>
      <c r="AW80" s="6"/>
      <c r="AX80" s="6"/>
      <c r="AY80" s="6"/>
    </row>
    <row r="81" spans="1:51" hidden="1" x14ac:dyDescent="0.25">
      <c r="A81" s="6"/>
      <c r="B81" s="10"/>
      <c r="C81" s="10"/>
      <c r="D81" s="10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30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30"/>
      <c r="AO81" s="6"/>
      <c r="AP81" s="31"/>
      <c r="AQ81" s="6"/>
      <c r="AR81" s="6"/>
      <c r="AS81" s="6"/>
      <c r="AT81" s="6"/>
      <c r="AU81" s="6"/>
      <c r="AV81" s="6"/>
      <c r="AW81" s="6"/>
      <c r="AX81" s="6"/>
      <c r="AY81" s="6"/>
    </row>
    <row r="82" spans="1:51" hidden="1" x14ac:dyDescent="0.25">
      <c r="A82" s="6"/>
      <c r="B82" s="10"/>
      <c r="C82" s="10"/>
      <c r="D82" s="10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30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30"/>
      <c r="AO82" s="6"/>
      <c r="AP82" s="31"/>
      <c r="AQ82" s="6"/>
      <c r="AR82" s="6"/>
      <c r="AS82" s="6"/>
      <c r="AT82" s="6"/>
      <c r="AU82" s="6"/>
      <c r="AV82" s="6"/>
      <c r="AW82" s="6"/>
      <c r="AX82" s="6"/>
      <c r="AY82" s="6"/>
    </row>
    <row r="83" spans="1:51" hidden="1" x14ac:dyDescent="0.25">
      <c r="A83" s="6"/>
      <c r="B83" s="10"/>
      <c r="C83" s="10"/>
      <c r="D83" s="10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30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30"/>
      <c r="AO83" s="6"/>
      <c r="AP83" s="31"/>
      <c r="AQ83" s="6"/>
      <c r="AR83" s="6"/>
      <c r="AS83" s="6"/>
      <c r="AT83" s="6"/>
      <c r="AU83" s="6"/>
      <c r="AV83" s="6"/>
      <c r="AW83" s="6"/>
      <c r="AX83" s="6"/>
      <c r="AY83" s="6"/>
    </row>
    <row r="84" spans="1:51" hidden="1" x14ac:dyDescent="0.25">
      <c r="A84" s="6"/>
      <c r="B84" s="10"/>
      <c r="C84" s="10"/>
      <c r="D84" s="10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30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30"/>
      <c r="AO84" s="6"/>
      <c r="AP84" s="31"/>
      <c r="AQ84" s="6"/>
      <c r="AR84" s="6"/>
      <c r="AS84" s="6"/>
      <c r="AT84" s="6"/>
      <c r="AU84" s="6"/>
      <c r="AV84" s="6"/>
      <c r="AW84" s="6"/>
      <c r="AX84" s="6"/>
      <c r="AY84" s="6"/>
    </row>
    <row r="85" spans="1:51" hidden="1" x14ac:dyDescent="0.25">
      <c r="A85" s="6"/>
      <c r="B85" s="10"/>
      <c r="C85" s="10"/>
      <c r="D85" s="10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30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30"/>
      <c r="AO85" s="6"/>
      <c r="AP85" s="31"/>
      <c r="AQ85" s="6"/>
      <c r="AR85" s="6"/>
      <c r="AS85" s="6"/>
      <c r="AT85" s="6"/>
      <c r="AU85" s="6"/>
      <c r="AV85" s="6"/>
      <c r="AW85" s="6"/>
      <c r="AX85" s="6"/>
      <c r="AY85" s="6"/>
    </row>
    <row r="86" spans="1:51" hidden="1" x14ac:dyDescent="0.25">
      <c r="A86" s="6"/>
      <c r="B86" s="10"/>
      <c r="C86" s="10"/>
      <c r="D86" s="10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30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30"/>
      <c r="AO86" s="6"/>
      <c r="AP86" s="31"/>
      <c r="AQ86" s="6"/>
      <c r="AR86" s="6"/>
      <c r="AS86" s="6"/>
      <c r="AT86" s="6"/>
      <c r="AU86" s="6"/>
      <c r="AV86" s="6"/>
      <c r="AW86" s="6"/>
      <c r="AX86" s="6"/>
      <c r="AY86" s="6"/>
    </row>
    <row r="87" spans="1:51" hidden="1" x14ac:dyDescent="0.25">
      <c r="A87" s="6"/>
      <c r="B87" s="10"/>
      <c r="C87" s="10"/>
      <c r="D87" s="10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30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30"/>
      <c r="AO87" s="6"/>
      <c r="AP87" s="31"/>
      <c r="AQ87" s="6"/>
      <c r="AR87" s="6"/>
      <c r="AS87" s="6"/>
      <c r="AT87" s="6"/>
      <c r="AU87" s="6"/>
      <c r="AV87" s="6"/>
      <c r="AW87" s="6"/>
      <c r="AX87" s="6"/>
      <c r="AY87" s="6"/>
    </row>
    <row r="88" spans="1:51" hidden="1" x14ac:dyDescent="0.25">
      <c r="A88" s="6"/>
      <c r="B88" s="10"/>
      <c r="C88" s="10"/>
      <c r="D88" s="10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30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30"/>
      <c r="AO88" s="6"/>
      <c r="AP88" s="31"/>
      <c r="AQ88" s="6"/>
      <c r="AR88" s="6"/>
      <c r="AS88" s="6"/>
      <c r="AT88" s="6"/>
      <c r="AU88" s="6"/>
      <c r="AV88" s="6"/>
      <c r="AW88" s="6"/>
      <c r="AX88" s="6"/>
      <c r="AY88" s="6"/>
    </row>
    <row r="89" spans="1:51" hidden="1" x14ac:dyDescent="0.25">
      <c r="A89" s="6"/>
      <c r="B89" s="10"/>
      <c r="C89" s="10"/>
      <c r="D89" s="10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30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30"/>
      <c r="AO89" s="6"/>
      <c r="AP89" s="31"/>
      <c r="AQ89" s="6"/>
      <c r="AR89" s="6"/>
      <c r="AS89" s="6"/>
      <c r="AT89" s="6"/>
      <c r="AU89" s="6"/>
      <c r="AV89" s="6"/>
      <c r="AW89" s="6"/>
      <c r="AX89" s="6"/>
      <c r="AY89" s="6"/>
    </row>
    <row r="90" spans="1:51" hidden="1" x14ac:dyDescent="0.25">
      <c r="A90" s="6"/>
      <c r="B90" s="10"/>
      <c r="C90" s="10"/>
      <c r="D90" s="10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30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30"/>
      <c r="AO90" s="6"/>
      <c r="AP90" s="31"/>
      <c r="AQ90" s="6"/>
      <c r="AR90" s="6"/>
      <c r="AS90" s="6"/>
      <c r="AT90" s="6"/>
      <c r="AU90" s="6"/>
      <c r="AV90" s="6"/>
      <c r="AW90" s="6"/>
      <c r="AX90" s="6"/>
      <c r="AY90" s="6"/>
    </row>
    <row r="91" spans="1:51" hidden="1" x14ac:dyDescent="0.25">
      <c r="A91" s="6"/>
      <c r="B91" s="10"/>
      <c r="C91" s="10"/>
      <c r="D91" s="10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30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30"/>
      <c r="AO91" s="6"/>
      <c r="AP91" s="31"/>
      <c r="AQ91" s="6"/>
      <c r="AR91" s="6"/>
      <c r="AS91" s="6"/>
      <c r="AT91" s="6"/>
      <c r="AU91" s="6"/>
      <c r="AV91" s="6"/>
      <c r="AW91" s="6"/>
      <c r="AX91" s="6"/>
      <c r="AY91" s="6"/>
    </row>
    <row r="92" spans="1:51" hidden="1" x14ac:dyDescent="0.25">
      <c r="A92" s="6"/>
      <c r="B92" s="10"/>
      <c r="C92" s="10"/>
      <c r="D92" s="10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30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30"/>
      <c r="AO92" s="6"/>
      <c r="AP92" s="31"/>
      <c r="AQ92" s="6"/>
      <c r="AR92" s="6"/>
      <c r="AS92" s="6"/>
      <c r="AT92" s="6"/>
      <c r="AU92" s="6"/>
      <c r="AV92" s="6"/>
      <c r="AW92" s="6"/>
      <c r="AX92" s="6"/>
      <c r="AY92" s="6"/>
    </row>
    <row r="93" spans="1:51" hidden="1" x14ac:dyDescent="0.25">
      <c r="A93" s="6"/>
      <c r="B93" s="10"/>
      <c r="C93" s="10"/>
      <c r="D93" s="10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30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30"/>
      <c r="AO93" s="6"/>
      <c r="AP93" s="31"/>
      <c r="AQ93" s="6"/>
      <c r="AR93" s="6"/>
      <c r="AS93" s="6"/>
      <c r="AT93" s="6"/>
      <c r="AU93" s="6"/>
      <c r="AV93" s="6"/>
      <c r="AW93" s="6"/>
      <c r="AX93" s="6"/>
      <c r="AY93" s="6"/>
    </row>
    <row r="94" spans="1:51" hidden="1" x14ac:dyDescent="0.25">
      <c r="A94" s="6"/>
      <c r="B94" s="10"/>
      <c r="C94" s="10"/>
      <c r="D94" s="10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30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30"/>
      <c r="AO94" s="6"/>
      <c r="AP94" s="31"/>
      <c r="AQ94" s="6"/>
      <c r="AR94" s="6"/>
      <c r="AS94" s="6"/>
      <c r="AT94" s="6"/>
      <c r="AU94" s="6"/>
      <c r="AV94" s="6"/>
      <c r="AW94" s="6"/>
      <c r="AX94" s="6"/>
      <c r="AY94" s="6"/>
    </row>
    <row r="95" spans="1:51" hidden="1" x14ac:dyDescent="0.25">
      <c r="A95" s="6"/>
      <c r="B95" s="10"/>
      <c r="C95" s="10"/>
      <c r="D95" s="10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30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30"/>
      <c r="AO95" s="6"/>
      <c r="AP95" s="31"/>
      <c r="AQ95" s="6"/>
      <c r="AR95" s="6"/>
      <c r="AS95" s="6"/>
      <c r="AT95" s="6"/>
      <c r="AU95" s="6"/>
      <c r="AV95" s="6"/>
      <c r="AW95" s="6"/>
      <c r="AX95" s="6"/>
      <c r="AY95" s="6"/>
    </row>
    <row r="96" spans="1:51" hidden="1" x14ac:dyDescent="0.25">
      <c r="A96" s="6"/>
      <c r="B96" s="10"/>
      <c r="C96" s="10"/>
      <c r="D96" s="10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30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30"/>
      <c r="AO96" s="6"/>
      <c r="AP96" s="31"/>
      <c r="AQ96" s="6"/>
      <c r="AR96" s="6"/>
      <c r="AS96" s="6"/>
      <c r="AT96" s="6"/>
      <c r="AU96" s="6"/>
      <c r="AV96" s="6"/>
      <c r="AW96" s="6"/>
      <c r="AX96" s="6"/>
      <c r="AY96" s="6"/>
    </row>
    <row r="97" spans="1:51" hidden="1" x14ac:dyDescent="0.25">
      <c r="A97" s="6"/>
      <c r="B97" s="10"/>
      <c r="C97" s="10"/>
      <c r="D97" s="10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30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30"/>
      <c r="AO97" s="6"/>
      <c r="AP97" s="31"/>
      <c r="AQ97" s="6"/>
      <c r="AR97" s="6"/>
      <c r="AS97" s="6"/>
      <c r="AT97" s="6"/>
      <c r="AU97" s="6"/>
      <c r="AV97" s="6"/>
      <c r="AW97" s="6"/>
      <c r="AX97" s="6"/>
      <c r="AY97" s="6"/>
    </row>
    <row r="98" spans="1:51" hidden="1" x14ac:dyDescent="0.25">
      <c r="A98" s="6"/>
      <c r="B98" s="10"/>
      <c r="C98" s="10"/>
      <c r="D98" s="10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30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30"/>
      <c r="AO98" s="6"/>
      <c r="AP98" s="31"/>
      <c r="AQ98" s="6"/>
      <c r="AR98" s="6"/>
      <c r="AS98" s="6"/>
      <c r="AT98" s="6"/>
      <c r="AU98" s="6"/>
      <c r="AV98" s="6"/>
      <c r="AW98" s="6"/>
      <c r="AX98" s="6"/>
      <c r="AY98" s="6"/>
    </row>
    <row r="99" spans="1:51" hidden="1" x14ac:dyDescent="0.25">
      <c r="A99" s="6"/>
      <c r="B99" s="10"/>
      <c r="C99" s="10"/>
      <c r="D99" s="10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30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30"/>
      <c r="AO99" s="6"/>
      <c r="AP99" s="31"/>
      <c r="AQ99" s="6"/>
      <c r="AR99" s="6"/>
      <c r="AS99" s="6"/>
      <c r="AT99" s="6"/>
      <c r="AU99" s="6"/>
      <c r="AV99" s="6"/>
      <c r="AW99" s="6"/>
      <c r="AX99" s="6"/>
      <c r="AY99" s="6"/>
    </row>
    <row r="100" spans="1:51" hidden="1" x14ac:dyDescent="0.25">
      <c r="A100" s="6"/>
      <c r="B100" s="10"/>
      <c r="C100" s="10"/>
      <c r="D100" s="10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30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30"/>
      <c r="AO100" s="6"/>
      <c r="AP100" s="31"/>
      <c r="AQ100" s="6"/>
      <c r="AR100" s="6"/>
      <c r="AS100" s="6"/>
      <c r="AT100" s="6"/>
      <c r="AU100" s="6"/>
      <c r="AV100" s="6"/>
      <c r="AW100" s="6"/>
      <c r="AX100" s="6"/>
      <c r="AY100" s="6"/>
    </row>
    <row r="101" spans="1:51" hidden="1" x14ac:dyDescent="0.25">
      <c r="A101" s="6"/>
      <c r="B101" s="10"/>
      <c r="C101" s="10"/>
      <c r="D101" s="10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30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30"/>
      <c r="AO101" s="6"/>
      <c r="AP101" s="31"/>
      <c r="AQ101" s="6"/>
      <c r="AR101" s="6"/>
      <c r="AS101" s="6"/>
      <c r="AT101" s="6"/>
      <c r="AU101" s="6"/>
      <c r="AV101" s="6"/>
      <c r="AW101" s="6"/>
      <c r="AX101" s="6"/>
      <c r="AY101" s="6"/>
    </row>
    <row r="102" spans="1:51" x14ac:dyDescent="0.25">
      <c r="A102" s="11" t="s">
        <v>58</v>
      </c>
      <c r="B102" s="11" t="s">
        <v>58</v>
      </c>
      <c r="C102" s="11" t="s">
        <v>58</v>
      </c>
      <c r="D102" s="11" t="s">
        <v>58</v>
      </c>
      <c r="E102" s="11" t="s">
        <v>58</v>
      </c>
      <c r="F102" s="11" t="s">
        <v>58</v>
      </c>
      <c r="G102" s="11" t="s">
        <v>58</v>
      </c>
      <c r="H102" s="11" t="s">
        <v>58</v>
      </c>
      <c r="I102" s="11" t="s">
        <v>58</v>
      </c>
      <c r="J102" s="11" t="s">
        <v>58</v>
      </c>
      <c r="K102" s="11" t="s">
        <v>58</v>
      </c>
      <c r="L102" s="11" t="s">
        <v>58</v>
      </c>
      <c r="M102" s="11" t="s">
        <v>58</v>
      </c>
      <c r="N102" s="11" t="s">
        <v>58</v>
      </c>
      <c r="O102" s="11" t="s">
        <v>58</v>
      </c>
      <c r="P102" s="11" t="s">
        <v>58</v>
      </c>
      <c r="Q102" s="11" t="s">
        <v>58</v>
      </c>
      <c r="R102" s="11" t="s">
        <v>58</v>
      </c>
      <c r="S102" s="11" t="s">
        <v>58</v>
      </c>
      <c r="T102" s="11" t="s">
        <v>58</v>
      </c>
      <c r="U102" s="11" t="s">
        <v>58</v>
      </c>
      <c r="V102" s="11" t="s">
        <v>58</v>
      </c>
      <c r="W102" s="11" t="s">
        <v>58</v>
      </c>
      <c r="X102" s="11" t="s">
        <v>58</v>
      </c>
      <c r="Y102" s="11" t="s">
        <v>58</v>
      </c>
      <c r="Z102" s="11"/>
      <c r="AA102" s="11" t="s">
        <v>58</v>
      </c>
      <c r="AB102" s="11" t="s">
        <v>58</v>
      </c>
      <c r="AC102" s="11" t="s">
        <v>58</v>
      </c>
      <c r="AD102" s="11" t="s">
        <v>58</v>
      </c>
      <c r="AE102" s="11" t="s">
        <v>58</v>
      </c>
      <c r="AF102" s="11" t="s">
        <v>58</v>
      </c>
      <c r="AG102" s="11" t="s">
        <v>58</v>
      </c>
      <c r="AH102" s="11" t="s">
        <v>58</v>
      </c>
      <c r="AI102" s="11" t="s">
        <v>58</v>
      </c>
      <c r="AJ102" s="11" t="s">
        <v>58</v>
      </c>
      <c r="AK102" s="11" t="s">
        <v>58</v>
      </c>
      <c r="AL102" s="11" t="s">
        <v>58</v>
      </c>
      <c r="AM102" s="11" t="s">
        <v>58</v>
      </c>
      <c r="AN102" s="11" t="s">
        <v>58</v>
      </c>
      <c r="AO102" s="11" t="s">
        <v>58</v>
      </c>
      <c r="AP102" s="11" t="s">
        <v>58</v>
      </c>
      <c r="AQ102" s="11" t="s">
        <v>58</v>
      </c>
      <c r="AR102" s="11" t="s">
        <v>58</v>
      </c>
      <c r="AS102" s="11" t="s">
        <v>58</v>
      </c>
      <c r="AT102" s="11" t="s">
        <v>58</v>
      </c>
      <c r="AU102" s="11" t="s">
        <v>58</v>
      </c>
      <c r="AV102" s="11" t="s">
        <v>58</v>
      </c>
      <c r="AW102" s="11" t="s">
        <v>58</v>
      </c>
      <c r="AX102" s="11" t="s">
        <v>58</v>
      </c>
      <c r="AY102" s="11" t="s">
        <v>58</v>
      </c>
    </row>
    <row r="103" spans="1:51" ht="15.75" x14ac:dyDescent="0.25">
      <c r="A103" s="12">
        <f>COLUMN()</f>
        <v>1</v>
      </c>
      <c r="B103" s="12">
        <f>COLUMN()</f>
        <v>2</v>
      </c>
      <c r="C103" s="12">
        <f>COLUMN()</f>
        <v>3</v>
      </c>
      <c r="D103" s="12">
        <f>COLUMN()</f>
        <v>4</v>
      </c>
      <c r="E103" s="12">
        <f>COLUMN()</f>
        <v>5</v>
      </c>
      <c r="F103" s="12">
        <f>COLUMN()</f>
        <v>6</v>
      </c>
      <c r="G103" s="12">
        <f>COLUMN()</f>
        <v>7</v>
      </c>
      <c r="H103" s="12">
        <f>COLUMN()</f>
        <v>8</v>
      </c>
      <c r="I103" s="12">
        <f>COLUMN()</f>
        <v>9</v>
      </c>
      <c r="J103" s="12">
        <f>COLUMN()</f>
        <v>10</v>
      </c>
      <c r="K103" s="12">
        <f>COLUMN()</f>
        <v>11</v>
      </c>
      <c r="L103" s="12">
        <f>COLUMN()</f>
        <v>12</v>
      </c>
      <c r="M103" s="47">
        <f>COLUMN()</f>
        <v>13</v>
      </c>
      <c r="N103" s="47">
        <f>COLUMN()</f>
        <v>14</v>
      </c>
      <c r="O103" s="47">
        <f>COLUMN()</f>
        <v>15</v>
      </c>
      <c r="P103" s="47">
        <f>COLUMN()</f>
        <v>16</v>
      </c>
      <c r="Q103" s="47">
        <f>COLUMN()</f>
        <v>17</v>
      </c>
      <c r="R103" s="47">
        <f>COLUMN()</f>
        <v>18</v>
      </c>
      <c r="S103" s="12">
        <f>COLUMN()</f>
        <v>19</v>
      </c>
      <c r="T103" s="12">
        <f>COLUMN()</f>
        <v>20</v>
      </c>
      <c r="U103" s="12">
        <f>COLUMN()</f>
        <v>21</v>
      </c>
      <c r="V103" s="12">
        <f>COLUMN()</f>
        <v>22</v>
      </c>
      <c r="W103" s="12">
        <f>COLUMN()</f>
        <v>23</v>
      </c>
      <c r="X103" s="12">
        <f>COLUMN()</f>
        <v>24</v>
      </c>
      <c r="Y103" s="12">
        <f>COLUMN()</f>
        <v>25</v>
      </c>
      <c r="Z103" s="12">
        <f>COLUMN()</f>
        <v>26</v>
      </c>
      <c r="AA103" s="12">
        <f>COLUMN()</f>
        <v>27</v>
      </c>
      <c r="AB103" s="12">
        <f>COLUMN()</f>
        <v>28</v>
      </c>
      <c r="AC103" s="12">
        <f>COLUMN()</f>
        <v>29</v>
      </c>
      <c r="AD103" s="12">
        <f>COLUMN()</f>
        <v>30</v>
      </c>
      <c r="AE103" s="12">
        <f>COLUMN()</f>
        <v>31</v>
      </c>
      <c r="AF103" s="12">
        <f>COLUMN()</f>
        <v>32</v>
      </c>
      <c r="AG103" s="12">
        <f>COLUMN()</f>
        <v>33</v>
      </c>
      <c r="AH103" s="12">
        <f>COLUMN()</f>
        <v>34</v>
      </c>
      <c r="AI103" s="12">
        <f>COLUMN()</f>
        <v>35</v>
      </c>
      <c r="AJ103" s="12">
        <f>COLUMN()</f>
        <v>36</v>
      </c>
      <c r="AK103" s="58">
        <f>COLUMN()</f>
        <v>37</v>
      </c>
      <c r="AL103" s="12">
        <f>COLUMN()</f>
        <v>38</v>
      </c>
      <c r="AM103" s="12">
        <f>COLUMN()</f>
        <v>39</v>
      </c>
      <c r="AN103" s="58">
        <f>COLUMN()</f>
        <v>40</v>
      </c>
      <c r="AO103" s="58">
        <f>COLUMN()</f>
        <v>41</v>
      </c>
      <c r="AP103" s="12">
        <f>COLUMN()</f>
        <v>42</v>
      </c>
      <c r="AQ103" s="12">
        <f>COLUMN()</f>
        <v>43</v>
      </c>
      <c r="AR103" s="12">
        <f>COLUMN()</f>
        <v>44</v>
      </c>
      <c r="AS103" s="12">
        <f>COLUMN()</f>
        <v>45</v>
      </c>
      <c r="AT103" s="12">
        <f>COLUMN()</f>
        <v>46</v>
      </c>
      <c r="AU103" s="12">
        <f>COLUMN()</f>
        <v>47</v>
      </c>
      <c r="AV103" s="12">
        <f>COLUMN()</f>
        <v>48</v>
      </c>
      <c r="AW103" s="12">
        <f>COLUMN()</f>
        <v>49</v>
      </c>
      <c r="AX103" s="12">
        <f>COLUMN()</f>
        <v>50</v>
      </c>
      <c r="AY103" s="12">
        <f>COLUMN()</f>
        <v>51</v>
      </c>
    </row>
    <row r="105" spans="1:51" ht="66" x14ac:dyDescent="0.25">
      <c r="AC105"/>
      <c r="AD105"/>
      <c r="AE105"/>
      <c r="AG105"/>
      <c r="AH105"/>
      <c r="AK105" s="49" t="s">
        <v>142</v>
      </c>
      <c r="AN105" s="49" t="s">
        <v>142</v>
      </c>
      <c r="AO105" s="49" t="s">
        <v>142</v>
      </c>
    </row>
    <row r="106" spans="1:51" x14ac:dyDescent="0.25">
      <c r="AC106"/>
      <c r="AD106"/>
      <c r="AE106"/>
      <c r="AG106"/>
      <c r="AH106"/>
    </row>
    <row r="107" spans="1:51" x14ac:dyDescent="0.25">
      <c r="AC107"/>
      <c r="AD107"/>
      <c r="AE107"/>
      <c r="AG107"/>
      <c r="AH107"/>
      <c r="AL107"/>
    </row>
    <row r="108" spans="1:51" x14ac:dyDescent="0.25">
      <c r="AC108"/>
      <c r="AD108"/>
      <c r="AE108"/>
      <c r="AG108"/>
      <c r="AH108"/>
      <c r="AL108"/>
      <c r="AM108"/>
      <c r="AN108"/>
      <c r="AO108"/>
      <c r="AP108"/>
    </row>
    <row r="109" spans="1:51" x14ac:dyDescent="0.25">
      <c r="AC109"/>
      <c r="AD109"/>
      <c r="AE109"/>
      <c r="AG109"/>
      <c r="AH109"/>
      <c r="AL109"/>
      <c r="AM109"/>
      <c r="AN109"/>
      <c r="AO109"/>
      <c r="AP109"/>
    </row>
    <row r="110" spans="1:51" x14ac:dyDescent="0.25">
      <c r="AG110"/>
      <c r="AH110"/>
      <c r="AL110"/>
      <c r="AM110"/>
      <c r="AN110"/>
      <c r="AO110"/>
      <c r="AP110"/>
    </row>
    <row r="111" spans="1:51" x14ac:dyDescent="0.25">
      <c r="AG111"/>
      <c r="AH111"/>
      <c r="AL111"/>
      <c r="AM111"/>
      <c r="AN111"/>
      <c r="AO111"/>
      <c r="AP111"/>
    </row>
    <row r="112" spans="1:51" x14ac:dyDescent="0.25">
      <c r="AG112"/>
      <c r="AH112"/>
      <c r="AL112"/>
    </row>
  </sheetData>
  <dataValidations count="16">
    <dataValidation type="list" allowBlank="1" showInputMessage="1" showErrorMessage="1" sqref="F2:F101" xr:uid="{BB711E05-BF0E-49C0-8EF3-B44AAEE48B7E}">
      <formula1>"V,F"</formula1>
    </dataValidation>
    <dataValidation type="list" allowBlank="1" showInputMessage="1" showErrorMessage="1" sqref="N2:N101" xr:uid="{C0EC14E3-5929-4482-A502-AE8021B72D12}">
      <formula1>"M,DL,DZ,PA"</formula1>
    </dataValidation>
    <dataValidation type="list" allowBlank="1" showInputMessage="1" showErrorMessage="1" sqref="G3:G101 AL2:AL101" xr:uid="{0772A845-5144-447A-A526-A2E1D202F070}">
      <formula1>"C,I"</formula1>
    </dataValidation>
    <dataValidation type="list" allowBlank="1" showInputMessage="1" showErrorMessage="1" sqref="AO2:AO101 AB2:AB101 O2:O101 S2:T101 M7:M101 W2:Z101 AK2:AK101 H2:L101 AR2:AV101" xr:uid="{A03EF5DA-C42E-4FF9-A6C4-10710C51FBC9}">
      <formula1>"S,N"</formula1>
    </dataValidation>
    <dataValidation type="list" allowBlank="1" showInputMessage="1" showErrorMessage="1" sqref="P2:P101" xr:uid="{62D9CC9C-C1C7-44AC-994C-817B316D55BC}">
      <formula1>"P,R"</formula1>
    </dataValidation>
    <dataValidation type="list" allowBlank="1" showInputMessage="1" showErrorMessage="1" sqref="M2:M101" xr:uid="{94A44688-8E86-462C-A857-872500B28B8D}">
      <formula1>"AP,DT,F,C"</formula1>
    </dataValidation>
    <dataValidation type="list" allowBlank="1" showInputMessage="1" showErrorMessage="1" sqref="AI2:AI101" xr:uid="{255408D9-D7E4-42A4-965F-D758CB5F0C31}">
      <formula1>"HED,HEN,HEDN,HN,R,F,RF,ITRA,ITER"</formula1>
    </dataValidation>
    <dataValidation type="list" allowBlank="1" showInputMessage="1" showErrorMessage="1" sqref="AH2:AH101" xr:uid="{CC608720-57AD-416E-AF17-7AD9D1EB1A3D}">
      <formula1>"R,F,RF,DU"</formula1>
    </dataValidation>
    <dataValidation type="list" allowBlank="1" showInputMessage="1" showErrorMessage="1" sqref="AY2:AY101" xr:uid="{6A4DBBDE-3BA6-4D83-AB8B-602D1C5B98D0}">
      <formula1>"M,I,D,DMQ"</formula1>
    </dataValidation>
    <dataValidation type="list" allowBlank="1" showInputMessage="1" showErrorMessage="1" sqref="Q2:R101" xr:uid="{13E8F64D-6874-40DE-A820-CEFE8B0404E4}">
      <formula1>"DV,DF"</formula1>
    </dataValidation>
    <dataValidation type="list" allowBlank="1" showInputMessage="1" showErrorMessage="1" sqref="AC2:AC101 AM2:AM101" xr:uid="{C7BF4241-3DB9-4EFD-A7ED-05B5C27C47CB}">
      <formula1>"MR,HS,SM,PS,VT"</formula1>
    </dataValidation>
    <dataValidation type="list" allowBlank="1" showInputMessage="1" showErrorMessage="1" sqref="AD2:AD101" xr:uid="{ADCD1043-C96C-44C2-BD24-E0597E545573}">
      <formula1>"IN,CH,DU,ICP"</formula1>
    </dataValidation>
    <dataValidation type="list" allowBlank="1" showInputMessage="1" showErrorMessage="1" sqref="AH2:AH101" xr:uid="{635A7244-B586-4074-9A1A-6B0068920D69}">
      <formula1>"IN,ICL,ICP"</formula1>
    </dataValidation>
    <dataValidation type="list" allowBlank="1" showInputMessage="1" showErrorMessage="1" sqref="AG2:AG101" xr:uid="{A7BB8A0B-4DD7-45AE-AF3C-20377B46284F}">
      <formula1>"IN,ICL,ICP,AV"</formula1>
    </dataValidation>
    <dataValidation type="list" allowBlank="1" showInputMessage="1" showErrorMessage="1" sqref="AW2:AW101" xr:uid="{8D11976E-BC4A-487B-B743-3807791FB4B3}">
      <formula1>"VM,MA,MC,MQ"</formula1>
    </dataValidation>
    <dataValidation type="list" allowBlank="1" showInputMessage="1" showErrorMessage="1" sqref="AX2:AX101" xr:uid="{CE19DA53-B483-4C37-BB1D-AE5D1CD88B0F}">
      <formula1>"PA,AC,DM,DV"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A6874-E8A2-4DD7-958D-2124F6F4BF35}">
  <sheetPr codeName="Planilha7">
    <tabColor rgb="FFFFC000"/>
  </sheetPr>
  <dimension ref="A1:B51"/>
  <sheetViews>
    <sheetView workbookViewId="0">
      <selection sqref="A1:A25"/>
    </sheetView>
  </sheetViews>
  <sheetFormatPr defaultRowHeight="15" x14ac:dyDescent="0.25"/>
  <cols>
    <col min="1" max="1" width="40.85546875" style="37" customWidth="1"/>
    <col min="2" max="2" width="25" customWidth="1"/>
  </cols>
  <sheetData>
    <row r="1" spans="1:2" x14ac:dyDescent="0.25">
      <c r="A1" s="19" t="s">
        <v>90</v>
      </c>
      <c r="B1" s="6"/>
    </row>
    <row r="2" spans="1:2" x14ac:dyDescent="0.25">
      <c r="A2" s="29" t="s">
        <v>83</v>
      </c>
      <c r="B2" s="10"/>
    </row>
    <row r="3" spans="1:2" x14ac:dyDescent="0.25">
      <c r="A3" s="19" t="s">
        <v>60</v>
      </c>
      <c r="B3" s="10"/>
    </row>
    <row r="4" spans="1:2" x14ac:dyDescent="0.25">
      <c r="A4" s="29" t="s">
        <v>84</v>
      </c>
      <c r="B4" s="10"/>
    </row>
    <row r="5" spans="1:2" x14ac:dyDescent="0.25">
      <c r="A5" s="33" t="s">
        <v>1</v>
      </c>
      <c r="B5" s="6"/>
    </row>
    <row r="6" spans="1:2" x14ac:dyDescent="0.25">
      <c r="A6" s="19" t="s">
        <v>2</v>
      </c>
      <c r="B6" s="6"/>
    </row>
    <row r="7" spans="1:2" x14ac:dyDescent="0.25">
      <c r="A7" s="19" t="s">
        <v>3</v>
      </c>
      <c r="B7" s="6"/>
    </row>
    <row r="8" spans="1:2" x14ac:dyDescent="0.25">
      <c r="A8" s="19" t="s">
        <v>4</v>
      </c>
      <c r="B8" s="6"/>
    </row>
    <row r="9" spans="1:2" x14ac:dyDescent="0.25">
      <c r="A9" s="19" t="s">
        <v>5</v>
      </c>
      <c r="B9" s="6"/>
    </row>
    <row r="10" spans="1:2" x14ac:dyDescent="0.25">
      <c r="A10" s="19" t="s">
        <v>6</v>
      </c>
      <c r="B10" s="6"/>
    </row>
    <row r="11" spans="1:2" x14ac:dyDescent="0.25">
      <c r="A11" s="19" t="s">
        <v>7</v>
      </c>
      <c r="B11" s="6"/>
    </row>
    <row r="12" spans="1:2" x14ac:dyDescent="0.25">
      <c r="A12" s="19" t="s">
        <v>8</v>
      </c>
      <c r="B12" s="6"/>
    </row>
    <row r="13" spans="1:2" x14ac:dyDescent="0.25">
      <c r="A13" s="19" t="s">
        <v>18</v>
      </c>
      <c r="B13" s="6"/>
    </row>
    <row r="14" spans="1:2" x14ac:dyDescent="0.25">
      <c r="A14" s="19" t="s">
        <v>9</v>
      </c>
      <c r="B14" s="6"/>
    </row>
    <row r="15" spans="1:2" x14ac:dyDescent="0.25">
      <c r="A15" s="34" t="s">
        <v>78</v>
      </c>
      <c r="B15" s="6"/>
    </row>
    <row r="16" spans="1:2" x14ac:dyDescent="0.25">
      <c r="A16" s="34" t="s">
        <v>64</v>
      </c>
      <c r="B16" s="6"/>
    </row>
    <row r="17" spans="1:2" x14ac:dyDescent="0.25">
      <c r="A17" s="34" t="s">
        <v>65</v>
      </c>
      <c r="B17" s="6"/>
    </row>
    <row r="18" spans="1:2" x14ac:dyDescent="0.25">
      <c r="A18" s="34" t="s">
        <v>66</v>
      </c>
      <c r="B18" s="6"/>
    </row>
    <row r="19" spans="1:2" x14ac:dyDescent="0.25">
      <c r="A19" s="34" t="s">
        <v>48</v>
      </c>
      <c r="B19" s="6"/>
    </row>
    <row r="20" spans="1:2" x14ac:dyDescent="0.25">
      <c r="A20" s="34" t="s">
        <v>44</v>
      </c>
      <c r="B20" s="6"/>
    </row>
    <row r="21" spans="1:2" x14ac:dyDescent="0.25">
      <c r="A21" s="19" t="s">
        <v>42</v>
      </c>
      <c r="B21" s="38"/>
    </row>
    <row r="22" spans="1:2" x14ac:dyDescent="0.25">
      <c r="A22" s="19" t="s">
        <v>43</v>
      </c>
      <c r="B22" s="38"/>
    </row>
    <row r="23" spans="1:2" x14ac:dyDescent="0.25">
      <c r="A23" s="19" t="s">
        <v>24</v>
      </c>
      <c r="B23" s="6"/>
    </row>
    <row r="24" spans="1:2" x14ac:dyDescent="0.25">
      <c r="A24" s="19" t="s">
        <v>25</v>
      </c>
      <c r="B24" s="6"/>
    </row>
    <row r="25" spans="1:2" x14ac:dyDescent="0.25">
      <c r="A25" s="19" t="s">
        <v>26</v>
      </c>
      <c r="B25" s="6"/>
    </row>
    <row r="26" spans="1:2" x14ac:dyDescent="0.25">
      <c r="A26" s="34" t="s">
        <v>93</v>
      </c>
      <c r="B26" s="6"/>
    </row>
    <row r="27" spans="1:2" x14ac:dyDescent="0.25">
      <c r="A27" s="34" t="s">
        <v>94</v>
      </c>
      <c r="B27" s="30"/>
    </row>
    <row r="28" spans="1:2" x14ac:dyDescent="0.25">
      <c r="A28" s="19" t="s">
        <v>14</v>
      </c>
      <c r="B28" s="6"/>
    </row>
    <row r="29" spans="1:2" x14ac:dyDescent="0.25">
      <c r="A29" s="19" t="s">
        <v>100</v>
      </c>
      <c r="B29" s="6"/>
    </row>
    <row r="30" spans="1:2" x14ac:dyDescent="0.25">
      <c r="A30" s="19" t="s">
        <v>11</v>
      </c>
      <c r="B30" s="6"/>
    </row>
    <row r="31" spans="1:2" x14ac:dyDescent="0.25">
      <c r="A31" s="19" t="s">
        <v>12</v>
      </c>
      <c r="B31" s="6"/>
    </row>
    <row r="32" spans="1:2" x14ac:dyDescent="0.25">
      <c r="A32" s="19" t="s">
        <v>13</v>
      </c>
      <c r="B32" s="7"/>
    </row>
    <row r="33" spans="1:2" x14ac:dyDescent="0.25">
      <c r="A33" s="19" t="s">
        <v>19</v>
      </c>
      <c r="B33" s="6"/>
    </row>
    <row r="34" spans="1:2" x14ac:dyDescent="0.25">
      <c r="A34" s="19" t="s">
        <v>21</v>
      </c>
      <c r="B34" s="6"/>
    </row>
    <row r="35" spans="1:2" x14ac:dyDescent="0.25">
      <c r="A35" s="19" t="s">
        <v>20</v>
      </c>
      <c r="B35" s="6"/>
    </row>
    <row r="36" spans="1:2" x14ac:dyDescent="0.25">
      <c r="A36" s="19" t="s">
        <v>22</v>
      </c>
      <c r="B36" s="8"/>
    </row>
    <row r="37" spans="1:2" x14ac:dyDescent="0.25">
      <c r="A37" s="19" t="s">
        <v>23</v>
      </c>
      <c r="B37" s="6"/>
    </row>
    <row r="38" spans="1:2" x14ac:dyDescent="0.25">
      <c r="A38" s="19" t="s">
        <v>95</v>
      </c>
      <c r="B38" s="6"/>
    </row>
    <row r="39" spans="1:2" x14ac:dyDescent="0.25">
      <c r="A39" s="19" t="s">
        <v>99</v>
      </c>
      <c r="B39" s="6"/>
    </row>
    <row r="40" spans="1:2" x14ac:dyDescent="0.25">
      <c r="A40" s="19" t="s">
        <v>96</v>
      </c>
      <c r="B40" s="30"/>
    </row>
    <row r="41" spans="1:2" x14ac:dyDescent="0.25">
      <c r="A41" s="19" t="s">
        <v>98</v>
      </c>
      <c r="B41" s="6"/>
    </row>
    <row r="42" spans="1:2" x14ac:dyDescent="0.25">
      <c r="A42" s="19" t="s">
        <v>97</v>
      </c>
      <c r="B42" s="31"/>
    </row>
    <row r="43" spans="1:2" x14ac:dyDescent="0.25">
      <c r="A43" s="19" t="s">
        <v>45</v>
      </c>
      <c r="B43" s="6"/>
    </row>
    <row r="44" spans="1:2" x14ac:dyDescent="0.25">
      <c r="A44" s="35" t="s">
        <v>82</v>
      </c>
      <c r="B44" s="6"/>
    </row>
    <row r="45" spans="1:2" x14ac:dyDescent="0.25">
      <c r="A45" s="35" t="s">
        <v>79</v>
      </c>
      <c r="B45" s="6"/>
    </row>
    <row r="46" spans="1:2" x14ac:dyDescent="0.25">
      <c r="A46" s="35" t="s">
        <v>80</v>
      </c>
      <c r="B46" s="6"/>
    </row>
    <row r="47" spans="1:2" x14ac:dyDescent="0.25">
      <c r="A47" s="35" t="s">
        <v>81</v>
      </c>
      <c r="B47" s="6"/>
    </row>
    <row r="48" spans="1:2" x14ac:dyDescent="0.25">
      <c r="A48" s="35" t="s">
        <v>92</v>
      </c>
      <c r="B48" s="6"/>
    </row>
    <row r="49" spans="1:2" x14ac:dyDescent="0.25">
      <c r="A49" s="36" t="s">
        <v>15</v>
      </c>
      <c r="B49" s="6"/>
    </row>
    <row r="50" spans="1:2" x14ac:dyDescent="0.25">
      <c r="A50" s="36" t="s">
        <v>16</v>
      </c>
      <c r="B50" s="6"/>
    </row>
    <row r="51" spans="1:2" x14ac:dyDescent="0.25">
      <c r="A51" s="36" t="s">
        <v>17</v>
      </c>
      <c r="B51" s="6"/>
    </row>
  </sheetData>
  <dataValidations count="16">
    <dataValidation type="list" allowBlank="1" showInputMessage="1" showErrorMessage="1" sqref="B34" xr:uid="{DA9731B8-2A8E-48ED-AD09-9D9A889770D3}">
      <formula1>"IN,ICL,ICP"</formula1>
    </dataValidation>
    <dataValidation type="list" allowBlank="1" showInputMessage="1" showErrorMessage="1" sqref="B30" xr:uid="{6DD0A759-37DA-44D1-8B3B-9173CDF934F0}">
      <formula1>"IN,CH,DU,ICP"</formula1>
    </dataValidation>
    <dataValidation type="list" allowBlank="1" showInputMessage="1" showErrorMessage="1" sqref="B29 B39" xr:uid="{DE9857A0-96E4-45BC-BAF4-7A5C00641294}">
      <formula1>"MR,HS,SM,PS,VT"</formula1>
    </dataValidation>
    <dataValidation type="list" allowBlank="1" showInputMessage="1" showErrorMessage="1" sqref="B17:B18" xr:uid="{1D605909-4476-4C08-B0D5-B8B569883A68}">
      <formula1>"DV,DF"</formula1>
    </dataValidation>
    <dataValidation type="list" allowBlank="1" showInputMessage="1" showErrorMessage="1" sqref="B51" xr:uid="{9C77B4C0-8D11-4BD6-8D38-1917EC93C221}">
      <formula1>"M,I,D,DMQ"</formula1>
    </dataValidation>
    <dataValidation type="list" allowBlank="1" showInputMessage="1" showErrorMessage="1" sqref="B34" xr:uid="{2788A844-C6A9-42B5-8D8D-0176EEC0C6B9}">
      <formula1>"R,F,RF,DU"</formula1>
    </dataValidation>
    <dataValidation type="list" allowBlank="1" showInputMessage="1" showErrorMessage="1" sqref="B35" xr:uid="{6B45C59B-6185-4573-9A94-BFFF2B63B7DD}">
      <formula1>"HED,HEN,HEDN,HN,R,F,RF,ITRA,ITER"</formula1>
    </dataValidation>
    <dataValidation type="list" allowBlank="1" showInputMessage="1" showErrorMessage="1" sqref="B13" xr:uid="{DCEB0F87-1FC1-4984-A80E-41B7E3A6A14A}">
      <formula1>"AP,DT,F,C"</formula1>
    </dataValidation>
    <dataValidation type="list" allowBlank="1" showInputMessage="1" showErrorMessage="1" sqref="B16" xr:uid="{D2615786-BCAB-4674-AA37-0D33A30A88F7}">
      <formula1>"P,R"</formula1>
    </dataValidation>
    <dataValidation type="list" allowBlank="1" showInputMessage="1" showErrorMessage="1" sqref="B8:B13 B28 B15 B19:B20 B44:B48 B23:B26 B37 B41" xr:uid="{C807AF0C-AE41-4334-A259-2EAE630C523F}">
      <formula1>"S,N"</formula1>
    </dataValidation>
    <dataValidation type="list" allowBlank="1" showInputMessage="1" showErrorMessage="1" sqref="B38" xr:uid="{EBF66C2B-1BA3-4E96-9BCD-E8DC4A7629C1}">
      <formula1>"C,I"</formula1>
    </dataValidation>
    <dataValidation type="list" allowBlank="1" showInputMessage="1" showErrorMessage="1" sqref="B14" xr:uid="{9820B79D-A973-4C2F-BB20-853BF7B2EDDB}">
      <formula1>"M,DL,DZ,PA"</formula1>
    </dataValidation>
    <dataValidation type="list" allowBlank="1" showInputMessage="1" showErrorMessage="1" sqref="B6" xr:uid="{B22CBAB1-0A6B-41E8-B163-5F94CECB7137}">
      <formula1>"V,F"</formula1>
    </dataValidation>
    <dataValidation type="list" allowBlank="1" showInputMessage="1" showErrorMessage="1" sqref="B33" xr:uid="{B1AF0170-DC25-4B3B-A16E-B4D9BBBA10E6}">
      <formula1>"IN,ICL,ICP,AV"</formula1>
    </dataValidation>
    <dataValidation type="list" allowBlank="1" showInputMessage="1" showErrorMessage="1" sqref="B49" xr:uid="{4A334BA4-FB56-4B18-B3BB-A53F6AAC4751}">
      <formula1>"VM,MA,MC,MQ"</formula1>
    </dataValidation>
    <dataValidation type="list" allowBlank="1" showInputMessage="1" showErrorMessage="1" sqref="B50" xr:uid="{DDC35F43-CDC6-4BB8-BDFC-DF0CEF4307DE}">
      <formula1>"PA,AC,DM,DV"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FA5C4-FAE2-41D9-8E97-FF4C2379A546}">
  <sheetPr codeName="Planilha3">
    <tabColor rgb="FFC00000"/>
  </sheetPr>
  <dimension ref="A1:AS3"/>
  <sheetViews>
    <sheetView topLeftCell="AJ1" workbookViewId="0">
      <selection activeCell="AL35" sqref="AL35"/>
    </sheetView>
  </sheetViews>
  <sheetFormatPr defaultRowHeight="15" x14ac:dyDescent="0.25"/>
  <cols>
    <col min="1" max="1" width="21" style="4" bestFit="1" customWidth="1"/>
    <col min="2" max="2" width="21" style="4" customWidth="1"/>
    <col min="3" max="3" width="14.28515625" style="4" bestFit="1" customWidth="1"/>
    <col min="4" max="4" width="35.7109375" style="4" customWidth="1"/>
    <col min="5" max="5" width="24.28515625" style="4" customWidth="1"/>
    <col min="6" max="6" width="14.28515625" style="4" bestFit="1" customWidth="1"/>
    <col min="7" max="7" width="11.28515625" style="4" bestFit="1" customWidth="1"/>
    <col min="8" max="8" width="21.140625" style="4" bestFit="1" customWidth="1"/>
    <col min="9" max="9" width="21" style="4" bestFit="1" customWidth="1"/>
    <col min="10" max="10" width="21.42578125" style="4" bestFit="1" customWidth="1"/>
    <col min="11" max="11" width="30.5703125" style="4" bestFit="1" customWidth="1"/>
    <col min="12" max="12" width="24.7109375" style="4" bestFit="1" customWidth="1"/>
    <col min="13" max="13" width="28" style="4" bestFit="1" customWidth="1"/>
    <col min="14" max="14" width="31.28515625" style="4" bestFit="1" customWidth="1"/>
    <col min="15" max="15" width="26.140625" style="4" bestFit="1" customWidth="1"/>
    <col min="16" max="16" width="25" style="4" bestFit="1" customWidth="1"/>
    <col min="17" max="20" width="25" style="4" customWidth="1"/>
    <col min="21" max="21" width="36.28515625" style="4" bestFit="1" customWidth="1"/>
    <col min="22" max="22" width="36.28515625" style="4" customWidth="1"/>
    <col min="23" max="23" width="28.140625" style="4" bestFit="1" customWidth="1"/>
    <col min="24" max="24" width="26.85546875" style="4" bestFit="1" customWidth="1"/>
    <col min="25" max="28" width="26.85546875" style="4" customWidth="1"/>
    <col min="29" max="29" width="31.140625" style="4" bestFit="1" customWidth="1"/>
    <col min="30" max="30" width="32" style="4" bestFit="1" customWidth="1"/>
    <col min="31" max="31" width="36.5703125" style="4" bestFit="1" customWidth="1"/>
    <col min="32" max="32" width="29.42578125" style="4" bestFit="1" customWidth="1"/>
    <col min="33" max="33" width="26.85546875" style="4" customWidth="1"/>
    <col min="34" max="34" width="33" style="4" bestFit="1" customWidth="1"/>
    <col min="35" max="35" width="40.140625" style="4" bestFit="1" customWidth="1"/>
    <col min="36" max="36" width="29.5703125" style="4" bestFit="1" customWidth="1"/>
    <col min="37" max="38" width="29.5703125" style="4" customWidth="1"/>
    <col min="39" max="39" width="11.85546875" style="4" bestFit="1" customWidth="1"/>
    <col min="40" max="40" width="36.5703125" style="4" bestFit="1" customWidth="1"/>
    <col min="41" max="41" width="34.5703125" style="4" bestFit="1" customWidth="1"/>
    <col min="42" max="42" width="38.5703125" style="4" bestFit="1" customWidth="1"/>
    <col min="43" max="43" width="36.42578125" style="4" bestFit="1" customWidth="1"/>
    <col min="44" max="44" width="11.85546875" style="4" customWidth="1"/>
    <col min="45" max="45" width="23.7109375" style="4" bestFit="1" customWidth="1"/>
    <col min="46" max="16384" width="9.140625" style="4"/>
  </cols>
  <sheetData>
    <row r="1" spans="1:45" s="17" customFormat="1" x14ac:dyDescent="0.25">
      <c r="A1" s="1" t="s">
        <v>39</v>
      </c>
      <c r="B1" s="2" t="s">
        <v>40</v>
      </c>
      <c r="C1" s="2" t="s">
        <v>1</v>
      </c>
      <c r="D1" s="2" t="s">
        <v>60</v>
      </c>
      <c r="E1" s="1" t="s">
        <v>0</v>
      </c>
      <c r="F1" s="3" t="s">
        <v>2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18</v>
      </c>
      <c r="N1" s="1" t="s">
        <v>9</v>
      </c>
      <c r="O1" s="1" t="s">
        <v>10</v>
      </c>
      <c r="P1" s="3" t="s">
        <v>41</v>
      </c>
      <c r="Q1" s="3" t="s">
        <v>11</v>
      </c>
      <c r="R1" s="3" t="s">
        <v>13</v>
      </c>
      <c r="S1" s="3" t="s">
        <v>42</v>
      </c>
      <c r="T1" s="3" t="s">
        <v>43</v>
      </c>
      <c r="U1" s="3" t="s">
        <v>44</v>
      </c>
      <c r="V1" s="3" t="s">
        <v>45</v>
      </c>
      <c r="W1" s="3" t="s">
        <v>46</v>
      </c>
      <c r="X1" s="1" t="s">
        <v>14</v>
      </c>
      <c r="Y1" s="3" t="s">
        <v>19</v>
      </c>
      <c r="Z1" s="3" t="s">
        <v>47</v>
      </c>
      <c r="AA1" s="3" t="s">
        <v>48</v>
      </c>
      <c r="AB1" s="3" t="s">
        <v>22</v>
      </c>
      <c r="AC1" s="3" t="s">
        <v>23</v>
      </c>
      <c r="AD1" s="1" t="s">
        <v>24</v>
      </c>
      <c r="AE1" s="1" t="s">
        <v>25</v>
      </c>
      <c r="AF1" s="1" t="s">
        <v>26</v>
      </c>
      <c r="AG1" s="3" t="s">
        <v>49</v>
      </c>
      <c r="AH1" s="1" t="s">
        <v>15</v>
      </c>
      <c r="AI1" s="1" t="s">
        <v>17</v>
      </c>
      <c r="AJ1" s="1" t="s">
        <v>16</v>
      </c>
      <c r="AK1" s="3" t="s">
        <v>50</v>
      </c>
      <c r="AL1" s="3" t="s">
        <v>51</v>
      </c>
      <c r="AM1" s="1" t="s">
        <v>27</v>
      </c>
      <c r="AN1" s="2" t="s">
        <v>52</v>
      </c>
      <c r="AO1" s="2" t="s">
        <v>53</v>
      </c>
      <c r="AP1" s="2" t="s">
        <v>54</v>
      </c>
      <c r="AQ1" s="2" t="s">
        <v>55</v>
      </c>
      <c r="AR1" s="1" t="s">
        <v>56</v>
      </c>
      <c r="AS1" s="1" t="s">
        <v>28</v>
      </c>
    </row>
    <row r="2" spans="1:45" x14ac:dyDescent="0.25">
      <c r="A2" s="4">
        <v>1</v>
      </c>
      <c r="D2" s="4" t="s">
        <v>29</v>
      </c>
      <c r="E2" s="4" t="s">
        <v>29</v>
      </c>
      <c r="G2" s="4" t="s">
        <v>31</v>
      </c>
      <c r="N2" s="4" t="s">
        <v>34</v>
      </c>
      <c r="Q2" s="4" t="s">
        <v>37</v>
      </c>
      <c r="R2" s="5" t="s">
        <v>57</v>
      </c>
      <c r="Y2" s="4" t="s">
        <v>38</v>
      </c>
      <c r="AC2" s="4" t="s">
        <v>32</v>
      </c>
      <c r="AD2" s="4" t="s">
        <v>32</v>
      </c>
      <c r="AE2" s="4" t="s">
        <v>32</v>
      </c>
      <c r="AF2" s="4" t="s">
        <v>32</v>
      </c>
    </row>
    <row r="3" spans="1:45" x14ac:dyDescent="0.25">
      <c r="R3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002CA-B36B-427F-A431-5A80DFD9FEB3}">
  <sheetPr codeName="Planilha4"/>
  <dimension ref="A1:D25"/>
  <sheetViews>
    <sheetView workbookViewId="0">
      <selection activeCell="I20" sqref="I19:I20"/>
    </sheetView>
  </sheetViews>
  <sheetFormatPr defaultRowHeight="15" x14ac:dyDescent="0.25"/>
  <cols>
    <col min="1" max="2" width="17" customWidth="1"/>
    <col min="3" max="4" width="21.140625" customWidth="1"/>
  </cols>
  <sheetData>
    <row r="1" spans="1:4" x14ac:dyDescent="0.25">
      <c r="A1" s="16" t="s">
        <v>91</v>
      </c>
      <c r="B1" s="16" t="s">
        <v>90</v>
      </c>
      <c r="C1" s="16" t="s">
        <v>86</v>
      </c>
      <c r="D1" s="29" t="s">
        <v>87</v>
      </c>
    </row>
    <row r="2" spans="1:4" x14ac:dyDescent="0.25">
      <c r="A2" s="6">
        <v>1</v>
      </c>
      <c r="B2" s="6"/>
      <c r="C2" s="10" t="s">
        <v>85</v>
      </c>
      <c r="D2" s="10" t="s">
        <v>88</v>
      </c>
    </row>
    <row r="3" spans="1:4" x14ac:dyDescent="0.25">
      <c r="A3" s="6">
        <v>2</v>
      </c>
      <c r="B3" s="6"/>
      <c r="C3" s="10" t="s">
        <v>61</v>
      </c>
      <c r="D3" s="10" t="s">
        <v>89</v>
      </c>
    </row>
    <row r="4" spans="1:4" x14ac:dyDescent="0.25">
      <c r="A4" s="6">
        <v>3</v>
      </c>
      <c r="B4" s="6"/>
      <c r="C4" s="10" t="s">
        <v>72</v>
      </c>
      <c r="D4" s="10" t="s">
        <v>88</v>
      </c>
    </row>
    <row r="5" spans="1:4" x14ac:dyDescent="0.25">
      <c r="A5" s="6"/>
      <c r="B5" s="6"/>
      <c r="C5" s="10"/>
      <c r="D5" s="10"/>
    </row>
    <row r="6" spans="1:4" x14ac:dyDescent="0.25">
      <c r="A6" s="6"/>
      <c r="B6" s="6"/>
      <c r="C6" s="10"/>
      <c r="D6" s="10"/>
    </row>
    <row r="7" spans="1:4" x14ac:dyDescent="0.25">
      <c r="A7" s="6"/>
      <c r="B7" s="6"/>
      <c r="C7" s="10"/>
      <c r="D7" s="10"/>
    </row>
    <row r="8" spans="1:4" x14ac:dyDescent="0.25">
      <c r="A8" s="6"/>
      <c r="B8" s="6"/>
      <c r="C8" s="10"/>
      <c r="D8" s="10"/>
    </row>
    <row r="9" spans="1:4" x14ac:dyDescent="0.25">
      <c r="A9" s="6"/>
      <c r="B9" s="6"/>
      <c r="C9" s="10"/>
      <c r="D9" s="10"/>
    </row>
    <row r="10" spans="1:4" x14ac:dyDescent="0.25">
      <c r="A10" s="6"/>
      <c r="B10" s="6"/>
      <c r="C10" s="10"/>
      <c r="D10" s="10"/>
    </row>
    <row r="11" spans="1:4" x14ac:dyDescent="0.25">
      <c r="A11" s="6"/>
      <c r="B11" s="6"/>
      <c r="C11" s="10"/>
      <c r="D11" s="10"/>
    </row>
    <row r="12" spans="1:4" x14ac:dyDescent="0.25">
      <c r="A12" s="6"/>
      <c r="B12" s="6"/>
      <c r="C12" s="10"/>
      <c r="D12" s="10"/>
    </row>
    <row r="13" spans="1:4" x14ac:dyDescent="0.25">
      <c r="A13" s="6"/>
      <c r="B13" s="6"/>
      <c r="C13" s="10"/>
      <c r="D13" s="10"/>
    </row>
    <row r="14" spans="1:4" x14ac:dyDescent="0.25">
      <c r="A14" s="6"/>
      <c r="B14" s="6"/>
      <c r="C14" s="10"/>
      <c r="D14" s="10"/>
    </row>
    <row r="15" spans="1:4" x14ac:dyDescent="0.25">
      <c r="A15" s="6"/>
      <c r="B15" s="6"/>
      <c r="C15" s="10"/>
      <c r="D15" s="10"/>
    </row>
    <row r="16" spans="1:4" x14ac:dyDescent="0.25">
      <c r="A16" s="6"/>
      <c r="B16" s="6"/>
      <c r="C16" s="10"/>
      <c r="D16" s="10"/>
    </row>
    <row r="17" spans="1:4" x14ac:dyDescent="0.25">
      <c r="A17" s="6"/>
      <c r="B17" s="6"/>
      <c r="C17" s="10"/>
      <c r="D17" s="10"/>
    </row>
    <row r="18" spans="1:4" x14ac:dyDescent="0.25">
      <c r="A18" s="6"/>
      <c r="B18" s="6"/>
      <c r="C18" s="10"/>
      <c r="D18" s="10"/>
    </row>
    <row r="19" spans="1:4" x14ac:dyDescent="0.25">
      <c r="A19" s="6"/>
      <c r="B19" s="6"/>
      <c r="C19" s="10"/>
      <c r="D19" s="10"/>
    </row>
    <row r="20" spans="1:4" x14ac:dyDescent="0.25">
      <c r="A20" s="6"/>
      <c r="B20" s="6"/>
      <c r="C20" s="10"/>
      <c r="D20" s="10"/>
    </row>
    <row r="21" spans="1:4" x14ac:dyDescent="0.25">
      <c r="A21" s="6"/>
      <c r="B21" s="6"/>
      <c r="C21" s="10"/>
      <c r="D21" s="10"/>
    </row>
    <row r="22" spans="1:4" x14ac:dyDescent="0.25">
      <c r="A22" s="6"/>
      <c r="B22" s="6"/>
      <c r="C22" s="10"/>
      <c r="D22" s="10"/>
    </row>
    <row r="23" spans="1:4" x14ac:dyDescent="0.25">
      <c r="A23" s="6"/>
      <c r="B23" s="6"/>
      <c r="C23" s="10"/>
      <c r="D23" s="10"/>
    </row>
    <row r="24" spans="1:4" x14ac:dyDescent="0.25">
      <c r="A24" s="6"/>
      <c r="B24" s="6"/>
      <c r="C24" s="10"/>
      <c r="D24" s="10"/>
    </row>
    <row r="25" spans="1:4" x14ac:dyDescent="0.25">
      <c r="A25" s="6"/>
      <c r="B25" s="6"/>
      <c r="C25" s="10"/>
      <c r="D25" s="10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FCD4F-B003-4892-A792-5480AE505E0A}">
  <sheetPr codeName="Planilha5"/>
  <dimension ref="A1:D25"/>
  <sheetViews>
    <sheetView workbookViewId="0">
      <selection activeCell="I37" sqref="I37"/>
    </sheetView>
  </sheetViews>
  <sheetFormatPr defaultRowHeight="15" x14ac:dyDescent="0.25"/>
  <cols>
    <col min="1" max="2" width="17" customWidth="1"/>
    <col min="3" max="4" width="21.140625" customWidth="1"/>
  </cols>
  <sheetData>
    <row r="1" spans="1:4" x14ac:dyDescent="0.25">
      <c r="A1" s="16" t="s">
        <v>91</v>
      </c>
      <c r="B1" s="16" t="s">
        <v>90</v>
      </c>
      <c r="C1" s="16" t="s">
        <v>86</v>
      </c>
      <c r="D1" s="29" t="s">
        <v>87</v>
      </c>
    </row>
    <row r="2" spans="1:4" x14ac:dyDescent="0.25">
      <c r="A2" s="6">
        <v>1</v>
      </c>
      <c r="B2" s="6"/>
      <c r="C2" s="10" t="s">
        <v>85</v>
      </c>
      <c r="D2" s="10" t="s">
        <v>88</v>
      </c>
    </row>
    <row r="3" spans="1:4" x14ac:dyDescent="0.25">
      <c r="A3" s="6">
        <v>2</v>
      </c>
      <c r="B3" s="6"/>
      <c r="C3" s="10" t="s">
        <v>61</v>
      </c>
      <c r="D3" s="10" t="s">
        <v>89</v>
      </c>
    </row>
    <row r="4" spans="1:4" x14ac:dyDescent="0.25">
      <c r="A4" s="6">
        <v>3</v>
      </c>
      <c r="B4" s="6"/>
      <c r="C4" s="10" t="s">
        <v>72</v>
      </c>
      <c r="D4" s="10" t="s">
        <v>88</v>
      </c>
    </row>
    <row r="5" spans="1:4" x14ac:dyDescent="0.25">
      <c r="A5" s="6"/>
      <c r="B5" s="6"/>
      <c r="C5" s="10"/>
      <c r="D5" s="10"/>
    </row>
    <row r="6" spans="1:4" x14ac:dyDescent="0.25">
      <c r="A6" s="6"/>
      <c r="B6" s="6"/>
      <c r="C6" s="10"/>
      <c r="D6" s="10"/>
    </row>
    <row r="7" spans="1:4" x14ac:dyDescent="0.25">
      <c r="A7" s="6"/>
      <c r="B7" s="6"/>
      <c r="C7" s="10"/>
      <c r="D7" s="10"/>
    </row>
    <row r="8" spans="1:4" x14ac:dyDescent="0.25">
      <c r="A8" s="6"/>
      <c r="B8" s="6"/>
      <c r="C8" s="10"/>
      <c r="D8" s="10"/>
    </row>
    <row r="9" spans="1:4" x14ac:dyDescent="0.25">
      <c r="A9" s="6"/>
      <c r="B9" s="6"/>
      <c r="C9" s="10"/>
      <c r="D9" s="10"/>
    </row>
    <row r="10" spans="1:4" x14ac:dyDescent="0.25">
      <c r="A10" s="6"/>
      <c r="B10" s="6"/>
      <c r="C10" s="10"/>
      <c r="D10" s="10"/>
    </row>
    <row r="11" spans="1:4" x14ac:dyDescent="0.25">
      <c r="A11" s="6"/>
      <c r="B11" s="6"/>
      <c r="C11" s="10"/>
      <c r="D11" s="10"/>
    </row>
    <row r="12" spans="1:4" x14ac:dyDescent="0.25">
      <c r="A12" s="6"/>
      <c r="B12" s="6"/>
      <c r="C12" s="10"/>
      <c r="D12" s="10"/>
    </row>
    <row r="13" spans="1:4" x14ac:dyDescent="0.25">
      <c r="A13" s="6"/>
      <c r="B13" s="6"/>
      <c r="C13" s="10"/>
      <c r="D13" s="10"/>
    </row>
    <row r="14" spans="1:4" x14ac:dyDescent="0.25">
      <c r="A14" s="6"/>
      <c r="B14" s="6"/>
      <c r="C14" s="10"/>
      <c r="D14" s="10"/>
    </row>
    <row r="15" spans="1:4" x14ac:dyDescent="0.25">
      <c r="A15" s="6"/>
      <c r="B15" s="6"/>
      <c r="C15" s="10"/>
      <c r="D15" s="10"/>
    </row>
    <row r="16" spans="1:4" x14ac:dyDescent="0.25">
      <c r="A16" s="6"/>
      <c r="B16" s="6"/>
      <c r="C16" s="10"/>
      <c r="D16" s="10"/>
    </row>
    <row r="17" spans="1:4" x14ac:dyDescent="0.25">
      <c r="A17" s="6"/>
      <c r="B17" s="6"/>
      <c r="C17" s="10"/>
      <c r="D17" s="10"/>
    </row>
    <row r="18" spans="1:4" x14ac:dyDescent="0.25">
      <c r="A18" s="6"/>
      <c r="B18" s="6"/>
      <c r="C18" s="10"/>
      <c r="D18" s="10"/>
    </row>
    <row r="19" spans="1:4" x14ac:dyDescent="0.25">
      <c r="A19" s="6"/>
      <c r="B19" s="6"/>
      <c r="C19" s="10"/>
      <c r="D19" s="10"/>
    </row>
    <row r="20" spans="1:4" x14ac:dyDescent="0.25">
      <c r="A20" s="6"/>
      <c r="B20" s="6"/>
      <c r="C20" s="10"/>
      <c r="D20" s="10"/>
    </row>
    <row r="21" spans="1:4" x14ac:dyDescent="0.25">
      <c r="A21" s="6"/>
      <c r="B21" s="6"/>
      <c r="C21" s="10"/>
      <c r="D21" s="10"/>
    </row>
    <row r="22" spans="1:4" x14ac:dyDescent="0.25">
      <c r="A22" s="6"/>
      <c r="B22" s="6"/>
      <c r="C22" s="10"/>
      <c r="D22" s="10"/>
    </row>
    <row r="23" spans="1:4" x14ac:dyDescent="0.25">
      <c r="A23" s="6"/>
      <c r="B23" s="6"/>
      <c r="C23" s="10"/>
      <c r="D23" s="10"/>
    </row>
    <row r="24" spans="1:4" x14ac:dyDescent="0.25">
      <c r="A24" s="6"/>
      <c r="B24" s="6"/>
      <c r="C24" s="10"/>
      <c r="D24" s="10"/>
    </row>
    <row r="25" spans="1:4" x14ac:dyDescent="0.25">
      <c r="A25" s="6"/>
      <c r="B25" s="6"/>
      <c r="C25" s="10"/>
      <c r="D25" s="10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E5CCE-4619-4FC0-924D-5208D6B743FB}">
  <sheetPr codeName="Planilha6"/>
  <dimension ref="A1:D25"/>
  <sheetViews>
    <sheetView workbookViewId="0">
      <selection activeCell="F28" sqref="F28"/>
    </sheetView>
  </sheetViews>
  <sheetFormatPr defaultRowHeight="15" x14ac:dyDescent="0.25"/>
  <cols>
    <col min="1" max="2" width="17" customWidth="1"/>
    <col min="3" max="4" width="21.140625" customWidth="1"/>
  </cols>
  <sheetData>
    <row r="1" spans="1:4" x14ac:dyDescent="0.25">
      <c r="A1" s="16" t="s">
        <v>91</v>
      </c>
      <c r="B1" s="16" t="s">
        <v>90</v>
      </c>
      <c r="C1" s="16" t="s">
        <v>86</v>
      </c>
      <c r="D1" s="29" t="s">
        <v>87</v>
      </c>
    </row>
    <row r="2" spans="1:4" x14ac:dyDescent="0.25">
      <c r="A2" s="6">
        <v>1</v>
      </c>
      <c r="B2" s="6"/>
      <c r="C2" s="10" t="s">
        <v>85</v>
      </c>
      <c r="D2" s="10" t="s">
        <v>88</v>
      </c>
    </row>
    <row r="3" spans="1:4" x14ac:dyDescent="0.25">
      <c r="A3" s="6">
        <v>2</v>
      </c>
      <c r="B3" s="6"/>
      <c r="C3" s="10" t="s">
        <v>61</v>
      </c>
      <c r="D3" s="10" t="s">
        <v>89</v>
      </c>
    </row>
    <row r="4" spans="1:4" x14ac:dyDescent="0.25">
      <c r="A4" s="6">
        <v>3</v>
      </c>
      <c r="B4" s="6"/>
      <c r="C4" s="10" t="s">
        <v>72</v>
      </c>
      <c r="D4" s="10" t="s">
        <v>88</v>
      </c>
    </row>
    <row r="5" spans="1:4" x14ac:dyDescent="0.25">
      <c r="A5" s="6"/>
      <c r="B5" s="6"/>
      <c r="C5" s="10"/>
      <c r="D5" s="10"/>
    </row>
    <row r="6" spans="1:4" x14ac:dyDescent="0.25">
      <c r="A6" s="6"/>
      <c r="B6" s="6"/>
      <c r="C6" s="10"/>
      <c r="D6" s="10"/>
    </row>
    <row r="7" spans="1:4" x14ac:dyDescent="0.25">
      <c r="A7" s="6"/>
      <c r="B7" s="6"/>
      <c r="C7" s="10"/>
      <c r="D7" s="10"/>
    </row>
    <row r="8" spans="1:4" x14ac:dyDescent="0.25">
      <c r="A8" s="6"/>
      <c r="B8" s="6"/>
      <c r="C8" s="10"/>
      <c r="D8" s="10"/>
    </row>
    <row r="9" spans="1:4" x14ac:dyDescent="0.25">
      <c r="A9" s="6"/>
      <c r="B9" s="6"/>
      <c r="C9" s="10"/>
      <c r="D9" s="10"/>
    </row>
    <row r="10" spans="1:4" x14ac:dyDescent="0.25">
      <c r="A10" s="6"/>
      <c r="B10" s="6"/>
      <c r="C10" s="10"/>
      <c r="D10" s="10"/>
    </row>
    <row r="11" spans="1:4" x14ac:dyDescent="0.25">
      <c r="A11" s="6"/>
      <c r="B11" s="6"/>
      <c r="C11" s="10"/>
      <c r="D11" s="10"/>
    </row>
    <row r="12" spans="1:4" x14ac:dyDescent="0.25">
      <c r="A12" s="6"/>
      <c r="B12" s="6"/>
      <c r="C12" s="10"/>
      <c r="D12" s="10"/>
    </row>
    <row r="13" spans="1:4" x14ac:dyDescent="0.25">
      <c r="A13" s="6"/>
      <c r="B13" s="6"/>
      <c r="C13" s="10"/>
      <c r="D13" s="10"/>
    </row>
    <row r="14" spans="1:4" x14ac:dyDescent="0.25">
      <c r="A14" s="6"/>
      <c r="B14" s="6"/>
      <c r="C14" s="10"/>
      <c r="D14" s="10"/>
    </row>
    <row r="15" spans="1:4" x14ac:dyDescent="0.25">
      <c r="A15" s="6"/>
      <c r="B15" s="6"/>
      <c r="C15" s="10"/>
      <c r="D15" s="10"/>
    </row>
    <row r="16" spans="1:4" x14ac:dyDescent="0.25">
      <c r="A16" s="6"/>
      <c r="B16" s="6"/>
      <c r="C16" s="10"/>
      <c r="D16" s="10"/>
    </row>
    <row r="17" spans="1:4" x14ac:dyDescent="0.25">
      <c r="A17" s="6"/>
      <c r="B17" s="6"/>
      <c r="C17" s="10"/>
      <c r="D17" s="10"/>
    </row>
    <row r="18" spans="1:4" x14ac:dyDescent="0.25">
      <c r="A18" s="6"/>
      <c r="B18" s="6"/>
      <c r="C18" s="10"/>
      <c r="D18" s="10"/>
    </row>
    <row r="19" spans="1:4" x14ac:dyDescent="0.25">
      <c r="A19" s="6"/>
      <c r="B19" s="6"/>
      <c r="C19" s="10"/>
      <c r="D19" s="10"/>
    </row>
    <row r="20" spans="1:4" x14ac:dyDescent="0.25">
      <c r="A20" s="6"/>
      <c r="B20" s="6"/>
      <c r="C20" s="10"/>
      <c r="D20" s="10"/>
    </row>
    <row r="21" spans="1:4" x14ac:dyDescent="0.25">
      <c r="A21" s="6"/>
      <c r="B21" s="6"/>
      <c r="C21" s="10"/>
      <c r="D21" s="10"/>
    </row>
    <row r="22" spans="1:4" x14ac:dyDescent="0.25">
      <c r="A22" s="6"/>
      <c r="B22" s="6"/>
      <c r="C22" s="10"/>
      <c r="D22" s="10"/>
    </row>
    <row r="23" spans="1:4" x14ac:dyDescent="0.25">
      <c r="A23" s="6"/>
      <c r="B23" s="6"/>
      <c r="C23" s="10"/>
      <c r="D23" s="10"/>
    </row>
    <row r="24" spans="1:4" x14ac:dyDescent="0.25">
      <c r="A24" s="6"/>
      <c r="B24" s="6"/>
      <c r="C24" s="10"/>
      <c r="D24" s="10"/>
    </row>
    <row r="25" spans="1:4" x14ac:dyDescent="0.25">
      <c r="A25" s="6"/>
      <c r="B25" s="6"/>
      <c r="C25" s="10"/>
      <c r="D25" s="10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39A2D-8D1B-4635-AB48-1416C9AB0168}">
  <sheetPr codeName="Planilha2"/>
  <dimension ref="B2:R17"/>
  <sheetViews>
    <sheetView workbookViewId="0">
      <selection activeCell="E33" sqref="E33"/>
    </sheetView>
  </sheetViews>
  <sheetFormatPr defaultRowHeight="14.25" x14ac:dyDescent="0.25"/>
  <cols>
    <col min="1" max="1" width="3.7109375" style="22" customWidth="1"/>
    <col min="2" max="2" width="21.85546875" style="22" bestFit="1" customWidth="1"/>
    <col min="3" max="3" width="13.140625" style="22" bestFit="1" customWidth="1"/>
    <col min="4" max="4" width="9.140625" style="22"/>
    <col min="5" max="5" width="29.5703125" style="22" customWidth="1"/>
    <col min="6" max="16384" width="9.140625" style="22"/>
  </cols>
  <sheetData>
    <row r="2" spans="2:18" x14ac:dyDescent="0.25">
      <c r="B2" s="20" t="s">
        <v>67</v>
      </c>
      <c r="C2" s="21">
        <v>1500</v>
      </c>
      <c r="E2" s="20" t="s">
        <v>68</v>
      </c>
      <c r="L2" s="39">
        <v>43831</v>
      </c>
      <c r="M2" s="39">
        <v>43922</v>
      </c>
      <c r="N2" s="40">
        <v>100</v>
      </c>
      <c r="Q2" s="39">
        <v>43831</v>
      </c>
      <c r="R2" s="40">
        <v>100</v>
      </c>
    </row>
    <row r="3" spans="2:18" x14ac:dyDescent="0.25">
      <c r="B3" s="20" t="s">
        <v>70</v>
      </c>
      <c r="C3" s="25">
        <v>42237</v>
      </c>
      <c r="E3" s="23" t="s">
        <v>69</v>
      </c>
      <c r="Q3" s="39">
        <v>43862</v>
      </c>
      <c r="R3" s="40">
        <v>100</v>
      </c>
    </row>
    <row r="4" spans="2:18" x14ac:dyDescent="0.25">
      <c r="B4" s="20" t="s">
        <v>74</v>
      </c>
      <c r="C4" s="25">
        <v>44103</v>
      </c>
      <c r="E4" s="24" t="s">
        <v>71</v>
      </c>
      <c r="Q4" s="39">
        <v>43891</v>
      </c>
      <c r="R4" s="40">
        <v>100</v>
      </c>
    </row>
    <row r="5" spans="2:18" x14ac:dyDescent="0.25">
      <c r="B5" s="20" t="s">
        <v>77</v>
      </c>
      <c r="C5" s="27">
        <v>220</v>
      </c>
      <c r="E5" s="24" t="s">
        <v>73</v>
      </c>
      <c r="Q5" s="39">
        <v>43922</v>
      </c>
      <c r="R5" s="40">
        <v>100</v>
      </c>
    </row>
    <row r="6" spans="2:18" x14ac:dyDescent="0.25">
      <c r="E6" s="24" t="s">
        <v>75</v>
      </c>
    </row>
    <row r="7" spans="2:18" x14ac:dyDescent="0.25">
      <c r="E7" s="24" t="s">
        <v>76</v>
      </c>
    </row>
    <row r="8" spans="2:18" x14ac:dyDescent="0.25">
      <c r="E8" s="24"/>
    </row>
    <row r="9" spans="2:18" x14ac:dyDescent="0.25">
      <c r="E9" s="24"/>
    </row>
    <row r="10" spans="2:18" x14ac:dyDescent="0.25">
      <c r="E10" s="24"/>
    </row>
    <row r="11" spans="2:18" x14ac:dyDescent="0.25">
      <c r="E11" s="24"/>
    </row>
    <row r="12" spans="2:18" x14ac:dyDescent="0.25">
      <c r="E12" s="24"/>
    </row>
    <row r="13" spans="2:18" x14ac:dyDescent="0.25">
      <c r="E13" s="24"/>
    </row>
    <row r="14" spans="2:18" x14ac:dyDescent="0.25">
      <c r="E14" s="24"/>
    </row>
    <row r="15" spans="2:18" x14ac:dyDescent="0.25">
      <c r="E15" s="24"/>
    </row>
    <row r="16" spans="2:18" x14ac:dyDescent="0.25">
      <c r="E16" s="24"/>
    </row>
    <row r="17" spans="5:5" x14ac:dyDescent="0.25">
      <c r="E17" s="26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76F0-B913-4158-88DD-0FB580AB8B6B}">
  <sheetPr codeName="Planilha9">
    <tabColor rgb="FF92D050"/>
  </sheetPr>
  <dimension ref="A1:H37"/>
  <sheetViews>
    <sheetView workbookViewId="0">
      <selection activeCell="B5" sqref="B5"/>
    </sheetView>
  </sheetViews>
  <sheetFormatPr defaultColWidth="14.85546875" defaultRowHeight="15" x14ac:dyDescent="0.25"/>
  <cols>
    <col min="1" max="5" width="14.85546875" style="43"/>
    <col min="7" max="7" width="19.7109375" style="50" bestFit="1" customWidth="1"/>
    <col min="8" max="8" width="16.28515625" style="50" bestFit="1" customWidth="1"/>
    <col min="9" max="16384" width="14.85546875" style="50"/>
  </cols>
  <sheetData>
    <row r="1" spans="1:8" x14ac:dyDescent="0.25">
      <c r="A1" s="55" t="s">
        <v>148</v>
      </c>
      <c r="B1" s="55" t="s">
        <v>144</v>
      </c>
      <c r="C1" s="55" t="s">
        <v>145</v>
      </c>
      <c r="D1" s="55" t="s">
        <v>146</v>
      </c>
      <c r="E1" s="55" t="s">
        <v>147</v>
      </c>
    </row>
    <row r="2" spans="1:8" x14ac:dyDescent="0.25">
      <c r="A2" s="45"/>
      <c r="B2" s="45"/>
      <c r="C2" s="45"/>
      <c r="D2" s="45"/>
      <c r="E2" s="45"/>
    </row>
    <row r="3" spans="1:8" x14ac:dyDescent="0.25">
      <c r="A3" s="45"/>
      <c r="B3" s="45"/>
      <c r="C3" s="45"/>
      <c r="D3" s="45"/>
      <c r="E3" s="45"/>
    </row>
    <row r="4" spans="1:8" x14ac:dyDescent="0.25">
      <c r="A4" s="45"/>
      <c r="B4" s="45"/>
      <c r="C4" s="45"/>
      <c r="D4" s="45"/>
      <c r="E4" s="45"/>
    </row>
    <row r="5" spans="1:8" x14ac:dyDescent="0.25">
      <c r="A5" s="45"/>
      <c r="B5" s="45"/>
      <c r="C5" s="45"/>
      <c r="D5" s="45"/>
      <c r="E5" s="45"/>
    </row>
    <row r="6" spans="1:8" x14ac:dyDescent="0.25">
      <c r="A6" s="45"/>
      <c r="B6" s="45"/>
      <c r="C6" s="45"/>
      <c r="D6" s="45"/>
      <c r="E6" s="45"/>
    </row>
    <row r="7" spans="1:8" x14ac:dyDescent="0.25">
      <c r="A7"/>
      <c r="B7"/>
      <c r="C7"/>
      <c r="D7"/>
      <c r="E7"/>
      <c r="G7"/>
      <c r="H7"/>
    </row>
    <row r="8" spans="1:8" x14ac:dyDescent="0.25">
      <c r="A8"/>
      <c r="B8"/>
      <c r="C8"/>
      <c r="D8"/>
      <c r="E8"/>
      <c r="G8"/>
      <c r="H8"/>
    </row>
    <row r="9" spans="1:8" x14ac:dyDescent="0.25">
      <c r="A9"/>
      <c r="B9"/>
      <c r="C9"/>
      <c r="D9"/>
      <c r="E9"/>
      <c r="G9"/>
      <c r="H9"/>
    </row>
    <row r="10" spans="1:8" x14ac:dyDescent="0.25">
      <c r="A10"/>
      <c r="B10"/>
      <c r="C10"/>
      <c r="D10"/>
      <c r="E10"/>
      <c r="G10"/>
      <c r="H10"/>
    </row>
    <row r="11" spans="1:8" x14ac:dyDescent="0.25">
      <c r="A11"/>
      <c r="B11"/>
      <c r="C11"/>
      <c r="D11"/>
      <c r="E11"/>
      <c r="G11"/>
      <c r="H11"/>
    </row>
    <row r="12" spans="1:8" x14ac:dyDescent="0.25">
      <c r="A12"/>
      <c r="B12"/>
      <c r="C12"/>
      <c r="D12"/>
      <c r="E12"/>
      <c r="G12"/>
      <c r="H12"/>
    </row>
    <row r="13" spans="1:8" x14ac:dyDescent="0.25">
      <c r="A13"/>
      <c r="B13"/>
      <c r="C13"/>
      <c r="D13"/>
      <c r="E13"/>
      <c r="G13"/>
      <c r="H13"/>
    </row>
    <row r="14" spans="1:8" x14ac:dyDescent="0.25">
      <c r="A14"/>
      <c r="B14"/>
      <c r="C14"/>
      <c r="D14"/>
      <c r="E14"/>
      <c r="G14"/>
      <c r="H14"/>
    </row>
    <row r="15" spans="1:8" x14ac:dyDescent="0.25">
      <c r="A15"/>
      <c r="B15"/>
      <c r="C15"/>
      <c r="D15"/>
      <c r="E15"/>
      <c r="G15"/>
      <c r="H15"/>
    </row>
    <row r="16" spans="1:8" x14ac:dyDescent="0.25">
      <c r="A16"/>
      <c r="B16"/>
      <c r="C16"/>
      <c r="D16"/>
      <c r="E16"/>
      <c r="G16"/>
      <c r="H16"/>
    </row>
    <row r="17" spans="1:8" x14ac:dyDescent="0.25">
      <c r="A17"/>
      <c r="B17"/>
      <c r="C17"/>
      <c r="D17"/>
      <c r="E17"/>
      <c r="G17"/>
      <c r="H17"/>
    </row>
    <row r="18" spans="1:8" x14ac:dyDescent="0.25">
      <c r="A18"/>
      <c r="B18"/>
      <c r="C18"/>
      <c r="D18"/>
      <c r="E18"/>
      <c r="G18"/>
      <c r="H18"/>
    </row>
    <row r="19" spans="1:8" x14ac:dyDescent="0.25">
      <c r="A19"/>
      <c r="B19"/>
      <c r="C19"/>
      <c r="D19"/>
      <c r="E19"/>
      <c r="G19"/>
      <c r="H19"/>
    </row>
    <row r="20" spans="1:8" x14ac:dyDescent="0.25">
      <c r="A20"/>
      <c r="B20"/>
      <c r="C20"/>
      <c r="D20"/>
      <c r="E20"/>
      <c r="G20"/>
      <c r="H20"/>
    </row>
    <row r="21" spans="1:8" x14ac:dyDescent="0.25">
      <c r="A21"/>
      <c r="B21"/>
      <c r="C21"/>
      <c r="D21"/>
      <c r="E21"/>
      <c r="G21"/>
      <c r="H21"/>
    </row>
    <row r="22" spans="1:8" x14ac:dyDescent="0.25">
      <c r="A22"/>
      <c r="B22"/>
      <c r="C22"/>
      <c r="D22"/>
      <c r="E22"/>
      <c r="G22"/>
      <c r="H22"/>
    </row>
    <row r="23" spans="1:8" x14ac:dyDescent="0.25">
      <c r="A23"/>
      <c r="B23"/>
      <c r="C23"/>
      <c r="D23"/>
      <c r="E23"/>
      <c r="G23"/>
      <c r="H23"/>
    </row>
    <row r="24" spans="1:8" x14ac:dyDescent="0.25">
      <c r="A24"/>
      <c r="B24"/>
      <c r="C24"/>
      <c r="D24"/>
      <c r="E24"/>
      <c r="G24"/>
      <c r="H24"/>
    </row>
    <row r="25" spans="1:8" x14ac:dyDescent="0.25">
      <c r="A25"/>
      <c r="B25"/>
      <c r="C25"/>
      <c r="D25"/>
      <c r="E25"/>
      <c r="G25"/>
      <c r="H25"/>
    </row>
    <row r="26" spans="1:8" x14ac:dyDescent="0.25">
      <c r="A26"/>
      <c r="B26"/>
      <c r="C26"/>
      <c r="D26"/>
      <c r="E26"/>
      <c r="G26"/>
      <c r="H26"/>
    </row>
    <row r="27" spans="1:8" x14ac:dyDescent="0.25">
      <c r="A27"/>
      <c r="B27"/>
      <c r="C27"/>
      <c r="D27"/>
      <c r="E27"/>
      <c r="G27"/>
      <c r="H27"/>
    </row>
    <row r="28" spans="1:8" x14ac:dyDescent="0.25">
      <c r="A28"/>
      <c r="B28"/>
      <c r="C28"/>
      <c r="D28"/>
      <c r="E28"/>
      <c r="G28"/>
      <c r="H28"/>
    </row>
    <row r="29" spans="1:8" x14ac:dyDescent="0.25">
      <c r="A29"/>
      <c r="B29"/>
      <c r="C29"/>
      <c r="D29"/>
      <c r="E29"/>
      <c r="G29"/>
      <c r="H29"/>
    </row>
    <row r="30" spans="1:8" x14ac:dyDescent="0.25">
      <c r="A30"/>
      <c r="B30"/>
      <c r="C30"/>
      <c r="D30"/>
      <c r="E30"/>
      <c r="G30"/>
      <c r="H30"/>
    </row>
    <row r="31" spans="1:8" x14ac:dyDescent="0.25">
      <c r="A31"/>
      <c r="B31"/>
      <c r="C31"/>
      <c r="D31"/>
      <c r="E31"/>
      <c r="G31"/>
      <c r="H31"/>
    </row>
    <row r="32" spans="1:8" x14ac:dyDescent="0.25">
      <c r="A32"/>
      <c r="B32"/>
      <c r="C32"/>
      <c r="D32"/>
      <c r="E32"/>
      <c r="G32"/>
      <c r="H32"/>
    </row>
    <row r="33" spans="1:8" x14ac:dyDescent="0.25">
      <c r="A33"/>
      <c r="B33"/>
      <c r="C33"/>
      <c r="D33"/>
      <c r="E33"/>
      <c r="G33"/>
      <c r="H33"/>
    </row>
    <row r="34" spans="1:8" x14ac:dyDescent="0.25">
      <c r="A34"/>
      <c r="B34"/>
      <c r="C34"/>
      <c r="D34"/>
      <c r="E34"/>
      <c r="G34"/>
      <c r="H34"/>
    </row>
    <row r="35" spans="1:8" x14ac:dyDescent="0.25">
      <c r="A35"/>
      <c r="B35"/>
      <c r="C35"/>
      <c r="D35"/>
      <c r="E35"/>
      <c r="G35"/>
      <c r="H35"/>
    </row>
    <row r="36" spans="1:8" x14ac:dyDescent="0.25">
      <c r="A36"/>
      <c r="B36"/>
      <c r="C36"/>
      <c r="D36"/>
      <c r="E36"/>
      <c r="G36"/>
      <c r="H36"/>
    </row>
    <row r="37" spans="1:8" x14ac:dyDescent="0.25">
      <c r="A37"/>
      <c r="B37"/>
      <c r="C37"/>
      <c r="D37"/>
      <c r="E37"/>
      <c r="G37"/>
      <c r="H37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169AA-C0CF-4017-8473-EF5605AA4933}">
  <sheetPr codeName="Planilha11">
    <tabColor rgb="FF92D050"/>
  </sheetPr>
  <dimension ref="A1:C22"/>
  <sheetViews>
    <sheetView workbookViewId="0">
      <selection activeCell="F29" sqref="F29"/>
    </sheetView>
  </sheetViews>
  <sheetFormatPr defaultRowHeight="15" x14ac:dyDescent="0.25"/>
  <cols>
    <col min="1" max="1" width="19.7109375" style="43" bestFit="1" customWidth="1"/>
    <col min="2" max="2" width="28.42578125" style="43" bestFit="1" customWidth="1"/>
    <col min="3" max="3" width="13" style="43" bestFit="1" customWidth="1"/>
    <col min="4" max="16384" width="9.140625" style="43"/>
  </cols>
  <sheetData>
    <row r="1" spans="1:3" x14ac:dyDescent="0.25">
      <c r="A1" s="55" t="s">
        <v>155</v>
      </c>
      <c r="B1" s="55" t="s">
        <v>154</v>
      </c>
      <c r="C1" s="55" t="s">
        <v>156</v>
      </c>
    </row>
    <row r="2" spans="1:3" x14ac:dyDescent="0.25">
      <c r="A2" s="56"/>
      <c r="B2" s="56"/>
      <c r="C2" s="56"/>
    </row>
    <row r="3" spans="1:3" x14ac:dyDescent="0.25">
      <c r="A3" s="56"/>
      <c r="B3" s="56"/>
      <c r="C3" s="56"/>
    </row>
    <row r="4" spans="1:3" x14ac:dyDescent="0.25">
      <c r="A4" s="56"/>
      <c r="B4" s="56"/>
      <c r="C4" s="56"/>
    </row>
    <row r="5" spans="1:3" x14ac:dyDescent="0.25">
      <c r="A5" s="56"/>
      <c r="B5" s="56"/>
      <c r="C5" s="56"/>
    </row>
    <row r="6" spans="1:3" x14ac:dyDescent="0.25">
      <c r="A6" s="56"/>
      <c r="B6" s="56"/>
      <c r="C6" s="56"/>
    </row>
    <row r="7" spans="1:3" x14ac:dyDescent="0.25">
      <c r="A7" s="56"/>
      <c r="B7" s="56"/>
      <c r="C7" s="56"/>
    </row>
    <row r="8" spans="1:3" x14ac:dyDescent="0.25">
      <c r="A8" s="56"/>
      <c r="B8" s="56"/>
      <c r="C8" s="56"/>
    </row>
    <row r="9" spans="1:3" x14ac:dyDescent="0.25">
      <c r="A9" s="56"/>
      <c r="B9" s="56"/>
      <c r="C9" s="56"/>
    </row>
    <row r="10" spans="1:3" x14ac:dyDescent="0.25">
      <c r="A10" s="56"/>
      <c r="B10" s="56"/>
      <c r="C10" s="56"/>
    </row>
    <row r="11" spans="1:3" x14ac:dyDescent="0.25">
      <c r="A11" s="56"/>
      <c r="B11" s="56"/>
      <c r="C11" s="56"/>
    </row>
    <row r="12" spans="1:3" x14ac:dyDescent="0.25">
      <c r="A12" s="56"/>
      <c r="B12" s="56"/>
      <c r="C12" s="56"/>
    </row>
    <row r="13" spans="1:3" x14ac:dyDescent="0.25">
      <c r="A13" s="56"/>
      <c r="B13" s="56"/>
      <c r="C13" s="56"/>
    </row>
    <row r="14" spans="1:3" x14ac:dyDescent="0.25">
      <c r="A14" s="56"/>
      <c r="B14" s="56"/>
      <c r="C14" s="56"/>
    </row>
    <row r="15" spans="1:3" x14ac:dyDescent="0.25">
      <c r="A15" s="56"/>
      <c r="B15" s="56"/>
      <c r="C15" s="56"/>
    </row>
    <row r="16" spans="1:3" x14ac:dyDescent="0.25">
      <c r="A16" s="56"/>
      <c r="B16" s="56"/>
      <c r="C16" s="56"/>
    </row>
    <row r="17" spans="1:3" x14ac:dyDescent="0.25">
      <c r="A17" s="56"/>
      <c r="B17" s="56"/>
      <c r="C17" s="56"/>
    </row>
    <row r="18" spans="1:3" x14ac:dyDescent="0.25">
      <c r="A18" s="56"/>
      <c r="B18" s="56"/>
      <c r="C18" s="56"/>
    </row>
    <row r="19" spans="1:3" x14ac:dyDescent="0.25">
      <c r="A19" s="56"/>
      <c r="B19" s="56"/>
      <c r="C19" s="56"/>
    </row>
    <row r="20" spans="1:3" x14ac:dyDescent="0.25">
      <c r="A20" s="56"/>
      <c r="B20" s="56"/>
      <c r="C20" s="56"/>
    </row>
    <row r="21" spans="1:3" x14ac:dyDescent="0.25">
      <c r="A21" s="56"/>
      <c r="B21" s="56"/>
      <c r="C21" s="56"/>
    </row>
    <row r="22" spans="1:3" x14ac:dyDescent="0.25">
      <c r="A22" s="56"/>
      <c r="B22" s="56"/>
      <c r="C22" s="56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B15EE-3751-4D3E-9318-02ED5B98EE4B}">
  <sheetPr codeName="Planilha8">
    <tabColor rgb="FF92D050"/>
  </sheetPr>
  <dimension ref="A1:X20"/>
  <sheetViews>
    <sheetView topLeftCell="I1" zoomScaleNormal="100" workbookViewId="0">
      <selection activeCell="K23" sqref="K23"/>
    </sheetView>
  </sheetViews>
  <sheetFormatPr defaultRowHeight="15" x14ac:dyDescent="0.25"/>
  <cols>
    <col min="1" max="1" width="5.28515625" style="43" customWidth="1"/>
    <col min="2" max="2" width="16.7109375" style="43" bestFit="1" customWidth="1"/>
    <col min="3" max="3" width="11.42578125" style="43" bestFit="1" customWidth="1"/>
    <col min="4" max="5" width="9.140625" style="43"/>
    <col min="6" max="6" width="14.85546875" style="43" bestFit="1" customWidth="1"/>
    <col min="7" max="7" width="11.42578125" style="43" bestFit="1" customWidth="1"/>
    <col min="8" max="9" width="9.140625" style="43"/>
    <col min="10" max="10" width="17" style="43" bestFit="1" customWidth="1"/>
    <col min="11" max="11" width="11.42578125" style="43" bestFit="1" customWidth="1"/>
    <col min="12" max="13" width="9.140625" style="43"/>
    <col min="14" max="14" width="27.85546875" style="43" bestFit="1" customWidth="1"/>
    <col min="15" max="15" width="11.42578125" style="43" bestFit="1" customWidth="1"/>
    <col min="16" max="17" width="9.140625" style="43"/>
    <col min="18" max="18" width="27.85546875" style="43" bestFit="1" customWidth="1"/>
    <col min="19" max="19" width="11.42578125" style="43" bestFit="1" customWidth="1"/>
    <col min="20" max="21" width="9.140625" style="43"/>
    <col min="22" max="22" width="14.85546875" style="43" bestFit="1" customWidth="1"/>
    <col min="23" max="23" width="11.42578125" style="43" bestFit="1" customWidth="1"/>
    <col min="24" max="16384" width="9.140625" style="43"/>
  </cols>
  <sheetData>
    <row r="1" spans="1:24" x14ac:dyDescent="0.25">
      <c r="A1" s="76" t="s">
        <v>9</v>
      </c>
      <c r="B1" s="76"/>
      <c r="C1" s="76"/>
      <c r="D1" s="42"/>
      <c r="E1" s="76" t="s">
        <v>3</v>
      </c>
      <c r="F1" s="76"/>
      <c r="G1" s="76"/>
      <c r="I1" s="76" t="s">
        <v>11</v>
      </c>
      <c r="J1" s="76"/>
      <c r="K1" s="76"/>
      <c r="M1" s="76" t="s">
        <v>19</v>
      </c>
      <c r="N1" s="76"/>
      <c r="O1" s="76"/>
      <c r="Q1" s="76" t="s">
        <v>127</v>
      </c>
      <c r="R1" s="76"/>
      <c r="S1" s="76"/>
      <c r="U1" s="76" t="s">
        <v>14</v>
      </c>
      <c r="V1" s="76"/>
      <c r="W1" s="76"/>
    </row>
    <row r="2" spans="1:24" x14ac:dyDescent="0.25">
      <c r="A2" s="44" t="s">
        <v>102</v>
      </c>
      <c r="B2" s="44" t="s">
        <v>103</v>
      </c>
      <c r="C2" s="44" t="s">
        <v>104</v>
      </c>
      <c r="E2" s="44" t="s">
        <v>102</v>
      </c>
      <c r="F2" s="44" t="s">
        <v>103</v>
      </c>
      <c r="G2" s="44" t="s">
        <v>104</v>
      </c>
      <c r="I2" s="41" t="s">
        <v>102</v>
      </c>
      <c r="J2" s="41" t="s">
        <v>103</v>
      </c>
      <c r="K2" s="41" t="s">
        <v>104</v>
      </c>
      <c r="M2" s="41" t="s">
        <v>102</v>
      </c>
      <c r="N2" s="41" t="s">
        <v>103</v>
      </c>
      <c r="O2" s="41" t="s">
        <v>104</v>
      </c>
      <c r="Q2" s="41" t="s">
        <v>102</v>
      </c>
      <c r="R2" s="41" t="s">
        <v>103</v>
      </c>
      <c r="S2" s="41" t="s">
        <v>104</v>
      </c>
      <c r="U2" s="41" t="s">
        <v>102</v>
      </c>
      <c r="V2" s="41" t="s">
        <v>103</v>
      </c>
      <c r="W2" s="41" t="s">
        <v>104</v>
      </c>
    </row>
    <row r="3" spans="1:24" x14ac:dyDescent="0.25">
      <c r="A3" s="45">
        <v>1</v>
      </c>
      <c r="B3" s="45" t="s">
        <v>105</v>
      </c>
      <c r="C3" s="45" t="s">
        <v>34</v>
      </c>
      <c r="E3" s="45">
        <v>1</v>
      </c>
      <c r="F3" s="45" t="s">
        <v>106</v>
      </c>
      <c r="G3" s="45" t="s">
        <v>31</v>
      </c>
      <c r="I3" s="45">
        <v>1</v>
      </c>
      <c r="J3" s="45" t="s">
        <v>107</v>
      </c>
      <c r="K3" s="45" t="s">
        <v>37</v>
      </c>
      <c r="M3" s="45">
        <v>1</v>
      </c>
      <c r="N3" s="45" t="s">
        <v>108</v>
      </c>
      <c r="O3" s="45" t="s">
        <v>38</v>
      </c>
      <c r="Q3" s="45">
        <v>1</v>
      </c>
      <c r="R3" s="45" t="s">
        <v>128</v>
      </c>
      <c r="S3" s="45" t="s">
        <v>129</v>
      </c>
      <c r="U3" s="45">
        <v>1</v>
      </c>
      <c r="V3" s="45" t="s">
        <v>137</v>
      </c>
      <c r="W3" s="45" t="s">
        <v>32</v>
      </c>
    </row>
    <row r="4" spans="1:24" x14ac:dyDescent="0.25">
      <c r="A4" s="45">
        <v>2</v>
      </c>
      <c r="B4" s="45" t="s">
        <v>109</v>
      </c>
      <c r="C4" s="45" t="s">
        <v>110</v>
      </c>
      <c r="E4" s="45">
        <v>2</v>
      </c>
      <c r="F4" s="45" t="s">
        <v>111</v>
      </c>
      <c r="G4" s="45" t="s">
        <v>63</v>
      </c>
      <c r="I4" s="45">
        <v>2</v>
      </c>
      <c r="J4" s="45" t="s">
        <v>112</v>
      </c>
      <c r="K4" s="45" t="s">
        <v>113</v>
      </c>
      <c r="M4" s="45">
        <v>2</v>
      </c>
      <c r="N4" s="45" t="s">
        <v>114</v>
      </c>
      <c r="O4" s="45" t="s">
        <v>115</v>
      </c>
      <c r="Q4" s="45">
        <v>2</v>
      </c>
      <c r="R4" s="45" t="s">
        <v>130</v>
      </c>
      <c r="S4" s="45" t="s">
        <v>36</v>
      </c>
      <c r="U4" s="45">
        <v>2</v>
      </c>
      <c r="V4" s="45" t="s">
        <v>138</v>
      </c>
      <c r="W4" s="45" t="s">
        <v>33</v>
      </c>
    </row>
    <row r="5" spans="1:24" x14ac:dyDescent="0.25">
      <c r="A5" s="45">
        <v>3</v>
      </c>
      <c r="B5" s="45" t="s">
        <v>116</v>
      </c>
      <c r="C5" s="45" t="s">
        <v>117</v>
      </c>
      <c r="F5" s="46"/>
      <c r="I5" s="45">
        <v>3</v>
      </c>
      <c r="J5" s="45" t="s">
        <v>118</v>
      </c>
      <c r="K5" s="45" t="s">
        <v>119</v>
      </c>
      <c r="M5" s="45">
        <v>3</v>
      </c>
      <c r="N5" s="45" t="s">
        <v>120</v>
      </c>
      <c r="O5" s="45" t="s">
        <v>121</v>
      </c>
      <c r="Q5" s="45">
        <v>3</v>
      </c>
      <c r="R5" s="45" t="s">
        <v>131</v>
      </c>
      <c r="S5" s="45" t="s">
        <v>132</v>
      </c>
      <c r="T5"/>
      <c r="U5"/>
      <c r="V5"/>
      <c r="W5"/>
      <c r="X5"/>
    </row>
    <row r="6" spans="1:24" x14ac:dyDescent="0.25">
      <c r="A6" s="45">
        <v>4</v>
      </c>
      <c r="B6" s="45" t="s">
        <v>122</v>
      </c>
      <c r="C6" s="45" t="s">
        <v>101</v>
      </c>
      <c r="I6" s="45">
        <v>4</v>
      </c>
      <c r="J6" s="45" t="s">
        <v>123</v>
      </c>
      <c r="K6" s="45" t="s">
        <v>124</v>
      </c>
      <c r="M6" s="45">
        <v>4</v>
      </c>
      <c r="N6" s="45" t="s">
        <v>125</v>
      </c>
      <c r="O6" s="45" t="s">
        <v>126</v>
      </c>
      <c r="Q6" s="45">
        <v>4</v>
      </c>
      <c r="R6" s="45" t="s">
        <v>133</v>
      </c>
      <c r="S6" s="45" t="s">
        <v>134</v>
      </c>
      <c r="T6"/>
      <c r="U6"/>
      <c r="V6"/>
      <c r="W6"/>
      <c r="X6"/>
    </row>
    <row r="7" spans="1:24" x14ac:dyDescent="0.25">
      <c r="B7" s="46"/>
      <c r="J7" s="46"/>
      <c r="N7" s="46"/>
      <c r="Q7" s="45">
        <v>5</v>
      </c>
      <c r="R7" s="45" t="s">
        <v>136</v>
      </c>
      <c r="S7" s="45" t="s">
        <v>135</v>
      </c>
      <c r="T7"/>
      <c r="U7"/>
      <c r="V7"/>
      <c r="W7"/>
      <c r="X7"/>
    </row>
    <row r="8" spans="1:24" x14ac:dyDescent="0.25">
      <c r="R8" s="46"/>
      <c r="T8"/>
      <c r="U8"/>
      <c r="V8"/>
      <c r="W8"/>
      <c r="X8"/>
    </row>
    <row r="9" spans="1:24" ht="10.5" customHeight="1" x14ac:dyDescent="0.25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</row>
    <row r="11" spans="1:24" x14ac:dyDescent="0.25">
      <c r="A11" s="76" t="s">
        <v>21</v>
      </c>
      <c r="B11" s="76"/>
      <c r="C11" s="76"/>
      <c r="E11" s="76" t="s">
        <v>16</v>
      </c>
      <c r="F11" s="76"/>
      <c r="G11" s="76"/>
      <c r="I11" s="76" t="s">
        <v>17</v>
      </c>
      <c r="J11" s="76"/>
      <c r="K11" s="76"/>
    </row>
    <row r="12" spans="1:24" x14ac:dyDescent="0.25">
      <c r="A12" s="41" t="s">
        <v>102</v>
      </c>
      <c r="B12" s="41" t="s">
        <v>103</v>
      </c>
      <c r="C12" s="41" t="s">
        <v>104</v>
      </c>
      <c r="E12" s="41" t="s">
        <v>102</v>
      </c>
      <c r="F12" s="41" t="s">
        <v>103</v>
      </c>
      <c r="G12" s="41" t="s">
        <v>104</v>
      </c>
      <c r="I12" s="41" t="s">
        <v>102</v>
      </c>
      <c r="J12" s="41" t="s">
        <v>103</v>
      </c>
      <c r="K12" s="41" t="s">
        <v>104</v>
      </c>
    </row>
    <row r="13" spans="1:24" x14ac:dyDescent="0.25">
      <c r="A13" s="45">
        <v>1</v>
      </c>
      <c r="B13" s="45" t="s">
        <v>139</v>
      </c>
      <c r="C13" s="45" t="s">
        <v>163</v>
      </c>
      <c r="E13" s="45">
        <v>1</v>
      </c>
      <c r="F13" s="45" t="s">
        <v>122</v>
      </c>
      <c r="G13" s="45" t="s">
        <v>101</v>
      </c>
      <c r="I13" s="45">
        <v>1</v>
      </c>
      <c r="J13" s="45" t="s">
        <v>169</v>
      </c>
      <c r="K13" s="45" t="s">
        <v>34</v>
      </c>
    </row>
    <row r="14" spans="1:24" x14ac:dyDescent="0.25">
      <c r="A14" s="45">
        <v>2</v>
      </c>
      <c r="B14" s="45" t="s">
        <v>140</v>
      </c>
      <c r="C14" s="45" t="s">
        <v>159</v>
      </c>
      <c r="E14" s="45">
        <v>2</v>
      </c>
      <c r="F14" s="45" t="s">
        <v>164</v>
      </c>
      <c r="G14" s="45" t="s">
        <v>167</v>
      </c>
      <c r="I14" s="45">
        <v>2</v>
      </c>
      <c r="J14" s="45" t="s">
        <v>170</v>
      </c>
      <c r="K14" s="45" t="s">
        <v>63</v>
      </c>
    </row>
    <row r="15" spans="1:24" x14ac:dyDescent="0.25">
      <c r="A15" s="45">
        <v>3</v>
      </c>
      <c r="B15" s="45" t="s">
        <v>141</v>
      </c>
      <c r="C15" s="45" t="s">
        <v>59</v>
      </c>
      <c r="E15" s="45">
        <v>3</v>
      </c>
      <c r="F15" s="45" t="s">
        <v>165</v>
      </c>
      <c r="G15" s="45" t="s">
        <v>168</v>
      </c>
      <c r="I15" s="45">
        <v>3</v>
      </c>
      <c r="J15" s="45" t="s">
        <v>171</v>
      </c>
      <c r="K15" s="45" t="s">
        <v>173</v>
      </c>
    </row>
    <row r="16" spans="1:24" x14ac:dyDescent="0.25">
      <c r="A16" s="45">
        <v>4</v>
      </c>
      <c r="B16" s="45" t="s">
        <v>118</v>
      </c>
      <c r="C16" s="45" t="s">
        <v>119</v>
      </c>
      <c r="E16" s="45">
        <v>4</v>
      </c>
      <c r="F16" s="45" t="s">
        <v>166</v>
      </c>
      <c r="G16" s="45" t="s">
        <v>160</v>
      </c>
      <c r="I16" s="45">
        <v>4</v>
      </c>
      <c r="J16" s="45" t="s">
        <v>172</v>
      </c>
      <c r="K16" s="45" t="s">
        <v>174</v>
      </c>
    </row>
    <row r="20" spans="7:7" x14ac:dyDescent="0.25">
      <c r="G20" s="54"/>
    </row>
  </sheetData>
  <mergeCells count="9">
    <mergeCell ref="U1:W1"/>
    <mergeCell ref="A11:C11"/>
    <mergeCell ref="A1:C1"/>
    <mergeCell ref="E1:G1"/>
    <mergeCell ref="I1:K1"/>
    <mergeCell ref="M1:O1"/>
    <mergeCell ref="Q1:S1"/>
    <mergeCell ref="E11:G11"/>
    <mergeCell ref="I11:K1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8BF57-E36F-489B-91EF-6EBFE61C7CC6}">
  <sheetPr codeName="Planilha10"/>
  <dimension ref="A1:I38"/>
  <sheetViews>
    <sheetView workbookViewId="0">
      <selection activeCell="I28" sqref="I28"/>
    </sheetView>
  </sheetViews>
  <sheetFormatPr defaultColWidth="14.85546875" defaultRowHeight="15" x14ac:dyDescent="0.25"/>
  <cols>
    <col min="1" max="2" width="14.85546875" style="50"/>
    <col min="3" max="3" width="17.5703125" style="50" bestFit="1" customWidth="1"/>
    <col min="4" max="16384" width="14.85546875" style="50"/>
  </cols>
  <sheetData>
    <row r="1" spans="1:9" x14ac:dyDescent="0.25">
      <c r="A1" s="51" t="s">
        <v>102</v>
      </c>
      <c r="B1" s="51" t="s">
        <v>145</v>
      </c>
      <c r="C1" s="51" t="s">
        <v>146</v>
      </c>
      <c r="D1" s="51" t="s">
        <v>150</v>
      </c>
      <c r="G1" s="53" t="s">
        <v>151</v>
      </c>
      <c r="H1" s="53" t="s">
        <v>152</v>
      </c>
    </row>
    <row r="2" spans="1:9" x14ac:dyDescent="0.25">
      <c r="A2" s="45">
        <v>10</v>
      </c>
      <c r="B2" s="45" t="s">
        <v>36</v>
      </c>
      <c r="C2" s="45" t="s">
        <v>149</v>
      </c>
      <c r="D2" s="45" t="s">
        <v>32</v>
      </c>
      <c r="E2" s="77"/>
      <c r="G2" s="54" t="s">
        <v>36</v>
      </c>
      <c r="H2" s="54" t="s">
        <v>88</v>
      </c>
    </row>
    <row r="3" spans="1:9" x14ac:dyDescent="0.25">
      <c r="A3" s="45">
        <v>11</v>
      </c>
      <c r="B3" s="45" t="s">
        <v>153</v>
      </c>
      <c r="C3" s="45" t="s">
        <v>157</v>
      </c>
      <c r="D3" s="45" t="s">
        <v>32</v>
      </c>
      <c r="E3" s="77"/>
      <c r="G3" s="54" t="s">
        <v>153</v>
      </c>
      <c r="H3" s="54" t="s">
        <v>89</v>
      </c>
    </row>
    <row r="4" spans="1:9" x14ac:dyDescent="0.25">
      <c r="A4" s="45">
        <v>12</v>
      </c>
      <c r="B4" s="45" t="s">
        <v>153</v>
      </c>
      <c r="C4" s="45" t="s">
        <v>158</v>
      </c>
      <c r="D4" s="45" t="s">
        <v>32</v>
      </c>
      <c r="E4" s="77"/>
    </row>
    <row r="5" spans="1:9" x14ac:dyDescent="0.25">
      <c r="A5" s="45"/>
      <c r="B5" s="45"/>
      <c r="C5" s="45"/>
      <c r="D5" s="45"/>
      <c r="E5" s="77"/>
    </row>
    <row r="6" spans="1:9" x14ac:dyDescent="0.25">
      <c r="A6" s="45"/>
      <c r="B6" s="45"/>
      <c r="C6" s="45"/>
      <c r="D6" s="45"/>
      <c r="E6" s="77"/>
    </row>
    <row r="7" spans="1:9" x14ac:dyDescent="0.25">
      <c r="A7" s="45"/>
      <c r="B7" s="45"/>
      <c r="C7" s="45"/>
      <c r="D7" s="45"/>
      <c r="E7" s="77"/>
    </row>
    <row r="8" spans="1:9" x14ac:dyDescent="0.25">
      <c r="A8" s="45"/>
      <c r="B8" s="45"/>
      <c r="C8" s="45"/>
      <c r="D8" s="45"/>
    </row>
    <row r="9" spans="1:9" x14ac:dyDescent="0.25">
      <c r="A9" s="45"/>
      <c r="B9" s="45"/>
      <c r="C9" s="45"/>
      <c r="D9" s="45"/>
    </row>
    <row r="10" spans="1:9" x14ac:dyDescent="0.25">
      <c r="A10" s="45"/>
      <c r="B10" s="45"/>
      <c r="C10" s="45"/>
      <c r="D10" s="45"/>
    </row>
    <row r="11" spans="1:9" x14ac:dyDescent="0.25">
      <c r="A11" s="45"/>
      <c r="B11" s="45"/>
      <c r="C11" s="45"/>
      <c r="D11" s="45"/>
    </row>
    <row r="12" spans="1:9" x14ac:dyDescent="0.25">
      <c r="A12" s="45"/>
      <c r="B12" s="45"/>
      <c r="C12" s="45"/>
      <c r="D12" s="45"/>
    </row>
    <row r="13" spans="1:9" x14ac:dyDescent="0.25">
      <c r="A13" s="45"/>
      <c r="B13" s="45"/>
      <c r="C13" s="45"/>
      <c r="D13" s="45"/>
    </row>
    <row r="14" spans="1:9" x14ac:dyDescent="0.25">
      <c r="A14" s="45"/>
      <c r="B14" s="45"/>
      <c r="C14" s="45"/>
      <c r="D14" s="45"/>
      <c r="I14" s="52"/>
    </row>
    <row r="15" spans="1:9" x14ac:dyDescent="0.25">
      <c r="A15" s="45"/>
      <c r="B15" s="45"/>
      <c r="C15" s="45"/>
      <c r="D15" s="45"/>
      <c r="I15" s="52"/>
    </row>
    <row r="16" spans="1:9" x14ac:dyDescent="0.25">
      <c r="A16" s="45"/>
      <c r="B16" s="45"/>
      <c r="C16" s="45"/>
      <c r="D16" s="45"/>
    </row>
    <row r="17" spans="1:9" x14ac:dyDescent="0.25">
      <c r="A17" s="45"/>
      <c r="B17" s="45"/>
      <c r="C17" s="45"/>
      <c r="D17" s="45"/>
      <c r="I17" s="52"/>
    </row>
    <row r="18" spans="1:9" x14ac:dyDescent="0.25">
      <c r="A18" s="45"/>
      <c r="B18" s="45"/>
      <c r="C18" s="45"/>
      <c r="D18" s="45"/>
    </row>
    <row r="19" spans="1:9" x14ac:dyDescent="0.25">
      <c r="A19" s="45"/>
      <c r="B19" s="45"/>
      <c r="C19" s="45"/>
      <c r="D19" s="45"/>
    </row>
    <row r="20" spans="1:9" x14ac:dyDescent="0.25">
      <c r="A20" s="45"/>
      <c r="B20" s="45"/>
      <c r="C20" s="45"/>
      <c r="D20" s="45"/>
    </row>
    <row r="21" spans="1:9" x14ac:dyDescent="0.25">
      <c r="A21" s="45"/>
      <c r="B21" s="45"/>
      <c r="C21" s="45"/>
      <c r="D21" s="45"/>
    </row>
    <row r="22" spans="1:9" x14ac:dyDescent="0.25">
      <c r="A22" s="45"/>
      <c r="B22" s="45"/>
      <c r="C22" s="45"/>
      <c r="D22" s="45"/>
    </row>
    <row r="23" spans="1:9" x14ac:dyDescent="0.25">
      <c r="A23" s="45"/>
      <c r="B23" s="45"/>
      <c r="C23" s="45"/>
      <c r="D23" s="45"/>
    </row>
    <row r="24" spans="1:9" x14ac:dyDescent="0.25">
      <c r="A24" s="45"/>
      <c r="B24" s="45"/>
      <c r="C24" s="45"/>
      <c r="D24" s="45"/>
    </row>
    <row r="25" spans="1:9" x14ac:dyDescent="0.25">
      <c r="A25" s="45"/>
      <c r="B25" s="45"/>
      <c r="C25" s="45"/>
      <c r="D25" s="45"/>
    </row>
    <row r="26" spans="1:9" x14ac:dyDescent="0.25">
      <c r="A26" s="45"/>
      <c r="B26" s="45"/>
      <c r="C26" s="45"/>
      <c r="D26" s="45"/>
    </row>
    <row r="27" spans="1:9" x14ac:dyDescent="0.25">
      <c r="A27" s="45"/>
      <c r="B27" s="45"/>
      <c r="C27" s="45"/>
      <c r="D27" s="45"/>
    </row>
    <row r="28" spans="1:9" x14ac:dyDescent="0.25">
      <c r="A28" s="45"/>
      <c r="B28" s="45"/>
      <c r="C28" s="45"/>
      <c r="D28" s="45"/>
    </row>
    <row r="29" spans="1:9" x14ac:dyDescent="0.25">
      <c r="A29" s="45"/>
      <c r="B29" s="45"/>
      <c r="C29" s="45"/>
      <c r="D29" s="45"/>
    </row>
    <row r="30" spans="1:9" x14ac:dyDescent="0.25">
      <c r="A30" s="45"/>
      <c r="B30" s="45"/>
      <c r="C30" s="45"/>
      <c r="D30" s="45"/>
    </row>
    <row r="31" spans="1:9" x14ac:dyDescent="0.25">
      <c r="A31" s="45"/>
      <c r="B31" s="45"/>
      <c r="C31" s="45"/>
      <c r="D31" s="45"/>
    </row>
    <row r="32" spans="1:9" x14ac:dyDescent="0.25">
      <c r="A32" s="45"/>
      <c r="B32" s="45"/>
      <c r="C32" s="45"/>
      <c r="D32" s="45"/>
    </row>
    <row r="33" spans="1:4" x14ac:dyDescent="0.25">
      <c r="A33" s="45"/>
      <c r="B33" s="45"/>
      <c r="C33" s="45"/>
      <c r="D33" s="45"/>
    </row>
    <row r="34" spans="1:4" x14ac:dyDescent="0.25">
      <c r="A34" s="45"/>
      <c r="B34" s="45"/>
      <c r="C34" s="45"/>
      <c r="D34" s="45"/>
    </row>
    <row r="35" spans="1:4" x14ac:dyDescent="0.25">
      <c r="A35" s="45"/>
      <c r="B35" s="45"/>
      <c r="C35" s="45"/>
      <c r="D35" s="45"/>
    </row>
    <row r="36" spans="1:4" x14ac:dyDescent="0.25">
      <c r="A36" s="45"/>
      <c r="B36" s="45"/>
      <c r="C36" s="45"/>
      <c r="D36" s="45"/>
    </row>
    <row r="37" spans="1:4" x14ac:dyDescent="0.25">
      <c r="A37" s="45"/>
      <c r="B37" s="45"/>
      <c r="C37" s="45"/>
      <c r="D37" s="45"/>
    </row>
    <row r="38" spans="1:4" x14ac:dyDescent="0.25">
      <c r="A38" s="45"/>
      <c r="B38" s="45"/>
      <c r="C38" s="45"/>
      <c r="D38" s="45"/>
    </row>
  </sheetData>
  <mergeCells count="2">
    <mergeCell ref="E5:E7"/>
    <mergeCell ref="E2:E4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490D0-8532-411A-A46A-11CDC342F092}">
  <sheetPr codeName="Planilha12">
    <tabColor rgb="FF00B050"/>
  </sheetPr>
  <dimension ref="A1:BC112"/>
  <sheetViews>
    <sheetView showGridLines="0" tabSelected="1" zoomScaleNormal="100" workbookViewId="0">
      <pane xSplit="3" ySplit="1" topLeftCell="U2" activePane="bottomRight" state="frozen"/>
      <selection pane="topRight" activeCell="C1" sqref="C1"/>
      <selection pane="bottomLeft" activeCell="A2" sqref="A2"/>
      <selection pane="bottomRight" activeCell="AC2" sqref="AC2"/>
    </sheetView>
  </sheetViews>
  <sheetFormatPr defaultColWidth="12.7109375" defaultRowHeight="15" x14ac:dyDescent="0.25"/>
  <cols>
    <col min="1" max="2" width="12.7109375" style="12"/>
    <col min="3" max="4" width="12.7109375" style="13"/>
    <col min="5" max="30" width="12.7109375" style="12"/>
    <col min="31" max="31" width="14.5703125" style="12" bestFit="1" customWidth="1"/>
    <col min="32" max="32" width="31.140625" style="12" bestFit="1" customWidth="1"/>
    <col min="33" max="51" width="12.7109375" style="12"/>
    <col min="52" max="16384" width="12.7109375" style="15"/>
  </cols>
  <sheetData>
    <row r="1" spans="1:55" s="14" customFormat="1" ht="105.75" customHeight="1" x14ac:dyDescent="0.25">
      <c r="A1" s="18" t="s">
        <v>90</v>
      </c>
      <c r="B1" s="19" t="s">
        <v>83</v>
      </c>
      <c r="C1" s="19" t="s">
        <v>60</v>
      </c>
      <c r="D1" s="19" t="s">
        <v>84</v>
      </c>
      <c r="E1" s="74" t="s">
        <v>1</v>
      </c>
      <c r="F1" s="18" t="s">
        <v>2</v>
      </c>
      <c r="G1" s="18" t="s">
        <v>3</v>
      </c>
      <c r="H1" s="18" t="s">
        <v>4</v>
      </c>
      <c r="I1" s="18" t="s">
        <v>5</v>
      </c>
      <c r="J1" s="18" t="s">
        <v>6</v>
      </c>
      <c r="K1" s="18" t="s">
        <v>7</v>
      </c>
      <c r="L1" s="18" t="s">
        <v>8</v>
      </c>
      <c r="M1" s="18" t="s">
        <v>18</v>
      </c>
      <c r="N1" s="18" t="s">
        <v>9</v>
      </c>
      <c r="O1" s="32" t="s">
        <v>78</v>
      </c>
      <c r="P1" s="32" t="s">
        <v>64</v>
      </c>
      <c r="Q1" s="32" t="s">
        <v>65</v>
      </c>
      <c r="R1" s="32" t="s">
        <v>66</v>
      </c>
      <c r="S1" s="32" t="s">
        <v>48</v>
      </c>
      <c r="T1" s="32" t="s">
        <v>44</v>
      </c>
      <c r="U1" s="18" t="s">
        <v>42</v>
      </c>
      <c r="V1" s="18" t="s">
        <v>43</v>
      </c>
      <c r="W1" s="18" t="s">
        <v>24</v>
      </c>
      <c r="X1" s="18" t="s">
        <v>25</v>
      </c>
      <c r="Y1" s="18" t="s">
        <v>26</v>
      </c>
      <c r="Z1" s="32" t="s">
        <v>93</v>
      </c>
      <c r="AA1" s="32" t="s">
        <v>94</v>
      </c>
      <c r="AB1" s="18" t="s">
        <v>14</v>
      </c>
      <c r="AC1" s="18" t="s">
        <v>100</v>
      </c>
      <c r="AD1" s="18" t="s">
        <v>11</v>
      </c>
      <c r="AE1" s="18" t="s">
        <v>12</v>
      </c>
      <c r="AF1" s="18" t="s">
        <v>13</v>
      </c>
      <c r="AG1" s="18" t="s">
        <v>19</v>
      </c>
      <c r="AH1" s="18" t="s">
        <v>21</v>
      </c>
      <c r="AI1" s="16" t="s">
        <v>20</v>
      </c>
      <c r="AJ1" s="18" t="s">
        <v>22</v>
      </c>
      <c r="AK1" s="59" t="s">
        <v>162</v>
      </c>
      <c r="AL1" s="18" t="s">
        <v>95</v>
      </c>
      <c r="AM1" s="18" t="s">
        <v>99</v>
      </c>
      <c r="AN1" s="59" t="s">
        <v>143</v>
      </c>
      <c r="AO1" s="59" t="s">
        <v>161</v>
      </c>
      <c r="AP1" s="18" t="s">
        <v>97</v>
      </c>
      <c r="AQ1" s="18" t="s">
        <v>45</v>
      </c>
      <c r="AR1" s="32" t="s">
        <v>82</v>
      </c>
      <c r="AS1" s="32" t="s">
        <v>79</v>
      </c>
      <c r="AT1" s="32" t="s">
        <v>80</v>
      </c>
      <c r="AU1" s="32" t="s">
        <v>81</v>
      </c>
      <c r="AV1" s="32" t="s">
        <v>92</v>
      </c>
      <c r="AW1" s="32" t="s">
        <v>15</v>
      </c>
      <c r="AX1" s="32" t="s">
        <v>16</v>
      </c>
      <c r="AY1" s="32" t="s">
        <v>17</v>
      </c>
    </row>
    <row r="2" spans="1:55" x14ac:dyDescent="0.25">
      <c r="A2" s="6">
        <v>1</v>
      </c>
      <c r="B2" s="10" t="s">
        <v>85</v>
      </c>
      <c r="C2" s="10" t="s">
        <v>29</v>
      </c>
      <c r="D2" s="10" t="s">
        <v>177</v>
      </c>
      <c r="E2" s="6"/>
      <c r="F2" s="6" t="s">
        <v>30</v>
      </c>
      <c r="G2" s="62" t="s">
        <v>31</v>
      </c>
      <c r="H2" s="6" t="s">
        <v>32</v>
      </c>
      <c r="I2" s="6" t="s">
        <v>32</v>
      </c>
      <c r="J2" s="6" t="s">
        <v>32</v>
      </c>
      <c r="K2" s="62" t="s">
        <v>33</v>
      </c>
      <c r="L2" s="62" t="s">
        <v>33</v>
      </c>
      <c r="M2" s="6" t="s">
        <v>31</v>
      </c>
      <c r="N2" s="6" t="s">
        <v>34</v>
      </c>
      <c r="O2" s="6" t="s">
        <v>33</v>
      </c>
      <c r="P2" s="62"/>
      <c r="Q2" s="6" t="s">
        <v>35</v>
      </c>
      <c r="R2" s="6" t="s">
        <v>35</v>
      </c>
      <c r="S2" s="62" t="s">
        <v>32</v>
      </c>
      <c r="T2" s="62" t="s">
        <v>33</v>
      </c>
      <c r="U2" s="28">
        <f>DADOS!C3</f>
        <v>42237</v>
      </c>
      <c r="V2" s="28">
        <f>DADOS!C4</f>
        <v>44103</v>
      </c>
      <c r="W2" s="6" t="s">
        <v>32</v>
      </c>
      <c r="X2" s="6" t="s">
        <v>32</v>
      </c>
      <c r="Y2" s="6" t="s">
        <v>32</v>
      </c>
      <c r="Z2" s="6" t="s">
        <v>32</v>
      </c>
      <c r="AA2" s="30">
        <v>3</v>
      </c>
      <c r="AB2" s="6" t="s">
        <v>32</v>
      </c>
      <c r="AC2" s="6" t="s">
        <v>129</v>
      </c>
      <c r="AD2" s="6" t="s">
        <v>38</v>
      </c>
      <c r="AE2" s="8">
        <v>3</v>
      </c>
      <c r="AF2" s="7">
        <v>1.9</v>
      </c>
      <c r="AG2" s="6" t="s">
        <v>115</v>
      </c>
      <c r="AH2" s="6" t="s">
        <v>119</v>
      </c>
      <c r="AI2" s="6"/>
      <c r="AJ2" s="8">
        <v>2</v>
      </c>
      <c r="AK2" s="6" t="s">
        <v>33</v>
      </c>
      <c r="AL2" s="6" t="s">
        <v>31</v>
      </c>
      <c r="AM2" s="6" t="s">
        <v>129</v>
      </c>
      <c r="AN2" s="30">
        <v>5</v>
      </c>
      <c r="AO2" s="6" t="s">
        <v>32</v>
      </c>
      <c r="AP2" s="31">
        <v>2</v>
      </c>
      <c r="AQ2" s="6" t="s">
        <v>183</v>
      </c>
      <c r="AR2" s="6" t="s">
        <v>32</v>
      </c>
      <c r="AS2" s="6" t="s">
        <v>32</v>
      </c>
      <c r="AT2" s="6" t="s">
        <v>32</v>
      </c>
      <c r="AU2" s="6" t="s">
        <v>32</v>
      </c>
      <c r="AV2" s="6" t="s">
        <v>32</v>
      </c>
      <c r="AW2" s="6"/>
      <c r="AX2" s="6"/>
      <c r="AY2" s="6"/>
    </row>
    <row r="3" spans="1:55" x14ac:dyDescent="0.25">
      <c r="A3" s="6">
        <v>2</v>
      </c>
      <c r="B3" s="10" t="s">
        <v>61</v>
      </c>
      <c r="C3" s="10" t="s">
        <v>61</v>
      </c>
      <c r="D3" s="10" t="s">
        <v>178</v>
      </c>
      <c r="E3" s="6"/>
      <c r="F3" s="6" t="s">
        <v>59</v>
      </c>
      <c r="G3" s="6" t="s">
        <v>31</v>
      </c>
      <c r="H3" s="6" t="s">
        <v>32</v>
      </c>
      <c r="I3" s="6" t="s">
        <v>32</v>
      </c>
      <c r="J3" s="6" t="s">
        <v>32</v>
      </c>
      <c r="K3" s="6" t="s">
        <v>33</v>
      </c>
      <c r="L3" s="6" t="s">
        <v>33</v>
      </c>
      <c r="M3" s="6" t="s">
        <v>31</v>
      </c>
      <c r="N3" s="6" t="s">
        <v>34</v>
      </c>
      <c r="O3" s="6" t="s">
        <v>33</v>
      </c>
      <c r="P3" s="6"/>
      <c r="Q3" s="6" t="s">
        <v>35</v>
      </c>
      <c r="R3" s="6" t="s">
        <v>35</v>
      </c>
      <c r="S3" s="6" t="s">
        <v>33</v>
      </c>
      <c r="T3" s="6" t="s">
        <v>33</v>
      </c>
      <c r="U3" s="57">
        <v>35184</v>
      </c>
      <c r="V3" s="57">
        <v>36676</v>
      </c>
      <c r="W3" s="6" t="s">
        <v>33</v>
      </c>
      <c r="X3" s="6" t="s">
        <v>32</v>
      </c>
      <c r="Y3" s="6" t="s">
        <v>32</v>
      </c>
      <c r="Z3" s="6" t="s">
        <v>33</v>
      </c>
      <c r="AA3" s="30"/>
      <c r="AB3" s="6" t="s">
        <v>33</v>
      </c>
      <c r="AC3" s="6" t="s">
        <v>36</v>
      </c>
      <c r="AD3" s="6" t="s">
        <v>38</v>
      </c>
      <c r="AE3" s="8">
        <v>1</v>
      </c>
      <c r="AF3" s="7">
        <v>1</v>
      </c>
      <c r="AG3" s="6" t="s">
        <v>38</v>
      </c>
      <c r="AH3" s="6"/>
      <c r="AI3" s="6"/>
      <c r="AJ3" s="8"/>
      <c r="AK3" s="6" t="s">
        <v>32</v>
      </c>
      <c r="AL3" s="6"/>
      <c r="AM3" s="6"/>
      <c r="AN3" s="30"/>
      <c r="AO3" s="6"/>
      <c r="AP3" s="31"/>
      <c r="AQ3" s="6"/>
      <c r="AR3" s="6" t="s">
        <v>33</v>
      </c>
      <c r="AS3" s="6" t="s">
        <v>33</v>
      </c>
      <c r="AT3" s="6" t="s">
        <v>33</v>
      </c>
      <c r="AU3" s="6" t="s">
        <v>33</v>
      </c>
      <c r="AV3" s="6" t="s">
        <v>33</v>
      </c>
      <c r="AW3" s="6"/>
      <c r="AX3" s="6"/>
      <c r="AY3" s="6"/>
    </row>
    <row r="4" spans="1:55" x14ac:dyDescent="0.25">
      <c r="A4" s="62">
        <v>3</v>
      </c>
      <c r="B4" s="66" t="s">
        <v>72</v>
      </c>
      <c r="C4" s="66" t="s">
        <v>62</v>
      </c>
      <c r="D4" s="66" t="s">
        <v>179</v>
      </c>
      <c r="E4" s="62"/>
      <c r="F4" s="62" t="s">
        <v>59</v>
      </c>
      <c r="G4" s="62" t="s">
        <v>63</v>
      </c>
      <c r="H4" s="62" t="s">
        <v>33</v>
      </c>
      <c r="I4" s="62" t="s">
        <v>33</v>
      </c>
      <c r="J4" s="62" t="s">
        <v>33</v>
      </c>
      <c r="K4" s="62" t="s">
        <v>33</v>
      </c>
      <c r="L4" s="62" t="s">
        <v>33</v>
      </c>
      <c r="M4" s="62" t="s">
        <v>31</v>
      </c>
      <c r="N4" s="62" t="s">
        <v>34</v>
      </c>
      <c r="O4" s="62" t="s">
        <v>33</v>
      </c>
      <c r="P4" s="62"/>
      <c r="Q4" s="62" t="s">
        <v>35</v>
      </c>
      <c r="R4" s="62" t="s">
        <v>35</v>
      </c>
      <c r="S4" s="62" t="s">
        <v>32</v>
      </c>
      <c r="T4" s="62" t="s">
        <v>33</v>
      </c>
      <c r="U4" s="67">
        <v>40339</v>
      </c>
      <c r="V4" s="67">
        <v>40704</v>
      </c>
      <c r="W4" s="62" t="s">
        <v>33</v>
      </c>
      <c r="X4" s="62" t="s">
        <v>33</v>
      </c>
      <c r="Y4" s="62" t="s">
        <v>33</v>
      </c>
      <c r="Z4" s="62"/>
      <c r="AA4" s="68">
        <v>0</v>
      </c>
      <c r="AB4" s="62" t="s">
        <v>33</v>
      </c>
      <c r="AC4" s="62"/>
      <c r="AD4" s="62"/>
      <c r="AE4" s="69"/>
      <c r="AF4" s="70"/>
      <c r="AG4" s="62"/>
      <c r="AH4" s="62"/>
      <c r="AI4" s="62"/>
      <c r="AJ4" s="69"/>
      <c r="AK4" s="62"/>
      <c r="AL4" s="62"/>
      <c r="AM4" s="62"/>
      <c r="AN4" s="68"/>
      <c r="AO4" s="62"/>
      <c r="AP4" s="31"/>
      <c r="AQ4" s="62"/>
      <c r="AR4" s="62"/>
      <c r="AS4" s="62"/>
      <c r="AT4" s="62"/>
      <c r="AU4" s="62"/>
      <c r="AV4" s="62"/>
      <c r="AW4" s="62"/>
      <c r="AX4" s="62"/>
      <c r="AY4" s="62"/>
    </row>
    <row r="5" spans="1:55" s="71" customFormat="1" x14ac:dyDescent="0.25">
      <c r="A5" s="62">
        <v>4</v>
      </c>
      <c r="B5" s="62" t="s">
        <v>85</v>
      </c>
      <c r="C5" s="62" t="s">
        <v>29</v>
      </c>
      <c r="D5" s="62" t="s">
        <v>182</v>
      </c>
      <c r="E5" s="62"/>
      <c r="F5" s="62" t="s">
        <v>30</v>
      </c>
      <c r="G5" s="62" t="s">
        <v>31</v>
      </c>
      <c r="H5" s="62" t="s">
        <v>32</v>
      </c>
      <c r="I5" s="62" t="s">
        <v>32</v>
      </c>
      <c r="J5" s="62" t="s">
        <v>32</v>
      </c>
      <c r="K5" s="62" t="s">
        <v>33</v>
      </c>
      <c r="L5" s="62" t="s">
        <v>33</v>
      </c>
      <c r="M5" s="62" t="s">
        <v>31</v>
      </c>
      <c r="N5" s="62" t="s">
        <v>34</v>
      </c>
      <c r="O5" s="62" t="s">
        <v>33</v>
      </c>
      <c r="P5" s="62" t="s">
        <v>176</v>
      </c>
      <c r="Q5" s="62" t="s">
        <v>35</v>
      </c>
      <c r="R5" s="62" t="s">
        <v>35</v>
      </c>
      <c r="S5" s="62" t="s">
        <v>32</v>
      </c>
      <c r="T5" s="62" t="s">
        <v>33</v>
      </c>
      <c r="U5" s="67" t="s">
        <v>180</v>
      </c>
      <c r="V5" s="67" t="s">
        <v>181</v>
      </c>
      <c r="W5" s="62" t="s">
        <v>32</v>
      </c>
      <c r="X5" s="62" t="s">
        <v>32</v>
      </c>
      <c r="Y5" s="62" t="s">
        <v>32</v>
      </c>
      <c r="Z5" s="62" t="s">
        <v>33</v>
      </c>
      <c r="AA5" s="68"/>
      <c r="AB5" s="62" t="s">
        <v>33</v>
      </c>
      <c r="AC5" s="62" t="s">
        <v>36</v>
      </c>
      <c r="AD5" s="62" t="s">
        <v>37</v>
      </c>
      <c r="AE5" s="69"/>
      <c r="AF5" s="70" t="s">
        <v>57</v>
      </c>
      <c r="AG5" s="62" t="s">
        <v>38</v>
      </c>
      <c r="AH5" s="62"/>
      <c r="AI5" s="62"/>
      <c r="AJ5" s="69">
        <v>0</v>
      </c>
      <c r="AK5" s="62" t="s">
        <v>32</v>
      </c>
      <c r="AL5" s="62" t="s">
        <v>31</v>
      </c>
      <c r="AM5" s="62" t="s">
        <v>36</v>
      </c>
      <c r="AN5" s="68">
        <v>0</v>
      </c>
      <c r="AO5" s="62" t="s">
        <v>59</v>
      </c>
      <c r="AP5" s="31"/>
      <c r="AQ5" s="62"/>
      <c r="AR5" s="62" t="s">
        <v>32</v>
      </c>
      <c r="AS5" s="62" t="s">
        <v>32</v>
      </c>
      <c r="AT5" s="62" t="s">
        <v>32</v>
      </c>
      <c r="AU5" s="62" t="s">
        <v>32</v>
      </c>
      <c r="AV5" s="62" t="s">
        <v>32</v>
      </c>
      <c r="AW5" s="62"/>
      <c r="AX5" s="62"/>
      <c r="AY5" s="62"/>
    </row>
    <row r="6" spans="1:55" s="71" customFormat="1" x14ac:dyDescent="0.25">
      <c r="A6" s="62"/>
      <c r="B6" s="66"/>
      <c r="C6" s="66"/>
      <c r="D6" s="66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7"/>
      <c r="V6" s="67"/>
      <c r="W6" s="62"/>
      <c r="X6" s="62"/>
      <c r="Y6" s="62"/>
      <c r="Z6" s="62"/>
      <c r="AA6" s="68"/>
      <c r="AB6" s="62"/>
      <c r="AC6" s="62"/>
      <c r="AD6" s="62"/>
      <c r="AE6" s="69"/>
      <c r="AF6" s="7"/>
      <c r="AG6" s="62"/>
      <c r="AH6" s="62"/>
      <c r="AI6" s="62"/>
      <c r="AJ6" s="69"/>
      <c r="AK6" s="62"/>
      <c r="AL6" s="62"/>
      <c r="AM6" s="62"/>
      <c r="AN6" s="68"/>
      <c r="AO6" s="62"/>
      <c r="AP6" s="31"/>
      <c r="AQ6" s="62"/>
      <c r="AR6" s="62"/>
      <c r="AS6" s="62"/>
      <c r="AT6" s="62"/>
      <c r="AU6" s="62"/>
      <c r="AV6" s="62"/>
      <c r="AW6" s="62"/>
      <c r="AX6" s="62"/>
      <c r="AY6" s="62"/>
    </row>
    <row r="7" spans="1:55" s="71" customFormat="1" x14ac:dyDescent="0.25">
      <c r="A7" s="62"/>
      <c r="B7" s="66"/>
      <c r="C7" s="66"/>
      <c r="D7" s="66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8"/>
      <c r="AB7" s="62"/>
      <c r="AC7" s="62"/>
      <c r="AD7" s="62"/>
      <c r="AE7" s="62"/>
      <c r="AF7" s="70"/>
      <c r="AG7" s="62"/>
      <c r="AH7" s="62"/>
      <c r="AI7" s="62"/>
      <c r="AJ7" s="69"/>
      <c r="AK7" s="62"/>
      <c r="AL7" s="62"/>
      <c r="AM7" s="62"/>
      <c r="AN7" s="68"/>
      <c r="AO7" s="62"/>
      <c r="AP7" s="31"/>
      <c r="AQ7" s="62"/>
      <c r="AR7" s="62"/>
      <c r="AS7" s="62"/>
      <c r="AT7" s="62"/>
      <c r="AU7" s="62"/>
      <c r="AV7" s="62"/>
      <c r="AW7" s="62"/>
      <c r="AX7" s="62"/>
      <c r="AY7" s="62"/>
    </row>
    <row r="8" spans="1:55" x14ac:dyDescent="0.25">
      <c r="A8" s="6"/>
      <c r="B8" s="10"/>
      <c r="C8" s="10"/>
      <c r="D8" s="10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30"/>
      <c r="AB8" s="6"/>
      <c r="AC8" s="6"/>
      <c r="AD8" s="6"/>
      <c r="AE8" s="6"/>
      <c r="AF8" s="7"/>
      <c r="AG8" s="6"/>
      <c r="AH8" s="6"/>
      <c r="AI8" s="6"/>
      <c r="AJ8" s="8"/>
      <c r="AK8" s="6"/>
      <c r="AL8" s="6"/>
      <c r="AM8" s="6"/>
      <c r="AN8" s="30"/>
      <c r="AO8" s="6"/>
      <c r="AP8" s="31"/>
      <c r="AQ8" s="6"/>
      <c r="AR8" s="6"/>
      <c r="AS8" s="6"/>
      <c r="AT8" s="6"/>
      <c r="AU8" s="6"/>
      <c r="AV8" s="6"/>
      <c r="AW8" s="6"/>
      <c r="AX8" s="6"/>
      <c r="AY8" s="6"/>
    </row>
    <row r="9" spans="1:55" x14ac:dyDescent="0.25">
      <c r="A9" s="6"/>
      <c r="B9" s="10"/>
      <c r="C9" s="10"/>
      <c r="D9" s="10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30"/>
      <c r="AB9" s="6"/>
      <c r="AC9" s="6"/>
      <c r="AD9" s="6"/>
      <c r="AE9" s="6"/>
      <c r="AF9" s="7"/>
      <c r="AG9" s="6"/>
      <c r="AH9" s="6"/>
      <c r="AI9" s="6"/>
      <c r="AJ9" s="8"/>
      <c r="AK9" s="6"/>
      <c r="AL9" s="6"/>
      <c r="AM9" s="6"/>
      <c r="AN9" s="30"/>
      <c r="AO9" s="6"/>
      <c r="AP9" s="31"/>
      <c r="AQ9" s="6"/>
      <c r="AR9" s="6"/>
      <c r="AS9" s="6"/>
      <c r="AT9" s="6"/>
      <c r="AU9" s="6"/>
      <c r="AV9" s="6"/>
      <c r="AW9" s="6"/>
      <c r="AX9" s="6"/>
      <c r="AY9" s="6"/>
    </row>
    <row r="10" spans="1:55" x14ac:dyDescent="0.25">
      <c r="A10" s="6"/>
      <c r="B10" s="10"/>
      <c r="C10" s="10"/>
      <c r="D10" s="10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30"/>
      <c r="AB10" s="6"/>
      <c r="AC10" s="6"/>
      <c r="AD10" s="6"/>
      <c r="AE10" s="6"/>
      <c r="AF10" s="7"/>
      <c r="AG10" s="6"/>
      <c r="AH10" s="6"/>
      <c r="AI10" s="6"/>
      <c r="AJ10" s="8"/>
      <c r="AK10" s="6"/>
      <c r="AL10" s="6"/>
      <c r="AM10" s="6"/>
      <c r="AN10" s="30"/>
      <c r="AO10" s="6"/>
      <c r="AP10" s="31"/>
      <c r="AQ10" s="6"/>
      <c r="AR10" s="6"/>
      <c r="AS10" s="6"/>
      <c r="AT10" s="6"/>
      <c r="AU10" s="6"/>
      <c r="AV10" s="6"/>
      <c r="AW10" s="6"/>
      <c r="AX10" s="6"/>
      <c r="AY10" s="6"/>
    </row>
    <row r="11" spans="1:55" hidden="1" x14ac:dyDescent="0.25">
      <c r="A11" s="6"/>
      <c r="B11" s="10"/>
      <c r="C11" s="10"/>
      <c r="D11" s="10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30"/>
      <c r="AB11" s="6"/>
      <c r="AC11" s="6"/>
      <c r="AD11" s="6"/>
      <c r="AE11" s="6"/>
      <c r="AF11" s="7"/>
      <c r="AG11" s="6"/>
      <c r="AH11" s="6"/>
      <c r="AI11" s="6"/>
      <c r="AJ11" s="8"/>
      <c r="AK11" s="6"/>
      <c r="AL11" s="6"/>
      <c r="AM11" s="6"/>
      <c r="AN11" s="30"/>
      <c r="AO11" s="6"/>
      <c r="AP11" s="31"/>
      <c r="AQ11" s="6"/>
      <c r="AR11" s="6"/>
      <c r="AS11" s="6"/>
      <c r="AT11" s="6"/>
      <c r="AU11" s="6"/>
      <c r="AV11" s="6"/>
      <c r="AW11" s="6"/>
      <c r="AX11" s="6"/>
      <c r="AY11" s="6"/>
      <c r="BC11" s="14"/>
    </row>
    <row r="12" spans="1:55" hidden="1" x14ac:dyDescent="0.25">
      <c r="A12" s="6"/>
      <c r="B12" s="10"/>
      <c r="C12" s="10"/>
      <c r="D12" s="10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30"/>
      <c r="AB12" s="6"/>
      <c r="AC12" s="6"/>
      <c r="AD12" s="6"/>
      <c r="AE12" s="6"/>
      <c r="AF12" s="7"/>
      <c r="AG12" s="6"/>
      <c r="AH12" s="6"/>
      <c r="AI12" s="6"/>
      <c r="AJ12" s="8"/>
      <c r="AK12" s="6"/>
      <c r="AL12" s="6"/>
      <c r="AM12" s="6"/>
      <c r="AN12" s="30"/>
      <c r="AO12" s="6"/>
      <c r="AP12" s="31"/>
      <c r="AQ12" s="6"/>
      <c r="AR12" s="6"/>
      <c r="AS12" s="6"/>
      <c r="AT12" s="6"/>
      <c r="AU12" s="6"/>
      <c r="AV12" s="6"/>
      <c r="AW12" s="6"/>
      <c r="AX12" s="6"/>
      <c r="AY12" s="6"/>
    </row>
    <row r="13" spans="1:55" hidden="1" x14ac:dyDescent="0.25">
      <c r="A13" s="6"/>
      <c r="B13" s="10"/>
      <c r="C13" s="10"/>
      <c r="D13" s="10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30"/>
      <c r="AB13" s="6"/>
      <c r="AC13" s="6"/>
      <c r="AD13" s="6"/>
      <c r="AE13" s="6"/>
      <c r="AF13" s="7"/>
      <c r="AG13" s="6"/>
      <c r="AH13" s="6"/>
      <c r="AI13" s="6"/>
      <c r="AJ13" s="8"/>
      <c r="AK13" s="6"/>
      <c r="AL13" s="6"/>
      <c r="AM13" s="6"/>
      <c r="AN13" s="30"/>
      <c r="AO13" s="6"/>
      <c r="AP13" s="31"/>
      <c r="AQ13" s="6"/>
      <c r="AR13" s="6"/>
      <c r="AS13" s="6"/>
      <c r="AT13" s="6"/>
      <c r="AU13" s="6"/>
      <c r="AV13" s="6"/>
      <c r="AW13" s="6"/>
      <c r="AX13" s="6"/>
      <c r="AY13" s="6"/>
    </row>
    <row r="14" spans="1:55" hidden="1" x14ac:dyDescent="0.25">
      <c r="A14" s="6"/>
      <c r="B14" s="10"/>
      <c r="C14" s="10"/>
      <c r="D14" s="10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30"/>
      <c r="AB14" s="6"/>
      <c r="AC14" s="6"/>
      <c r="AD14" s="6"/>
      <c r="AE14" s="6"/>
      <c r="AF14" s="7"/>
      <c r="AG14" s="6"/>
      <c r="AH14" s="6"/>
      <c r="AI14" s="6"/>
      <c r="AJ14" s="8"/>
      <c r="AK14" s="6"/>
      <c r="AL14" s="6"/>
      <c r="AM14" s="6"/>
      <c r="AN14" s="30"/>
      <c r="AO14" s="6"/>
      <c r="AP14" s="31"/>
      <c r="AQ14" s="6"/>
      <c r="AR14" s="6"/>
      <c r="AS14" s="6"/>
      <c r="AT14" s="6"/>
      <c r="AU14" s="6"/>
      <c r="AV14" s="6"/>
      <c r="AW14" s="6"/>
      <c r="AX14" s="6"/>
      <c r="AY14" s="6"/>
    </row>
    <row r="15" spans="1:55" hidden="1" x14ac:dyDescent="0.25">
      <c r="A15" s="6"/>
      <c r="B15" s="10"/>
      <c r="C15" s="10"/>
      <c r="D15" s="10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30"/>
      <c r="AB15" s="6"/>
      <c r="AC15" s="6"/>
      <c r="AD15" s="6"/>
      <c r="AE15" s="6"/>
      <c r="AF15" s="7"/>
      <c r="AG15" s="6"/>
      <c r="AH15" s="6"/>
      <c r="AI15" s="6"/>
      <c r="AJ15" s="8"/>
      <c r="AK15" s="6"/>
      <c r="AL15" s="6"/>
      <c r="AM15" s="6"/>
      <c r="AN15" s="30"/>
      <c r="AO15" s="6"/>
      <c r="AP15" s="31"/>
      <c r="AQ15" s="6"/>
      <c r="AR15" s="6"/>
      <c r="AS15" s="6"/>
      <c r="AT15" s="6"/>
      <c r="AU15" s="6"/>
      <c r="AV15" s="6"/>
      <c r="AW15" s="6"/>
      <c r="AX15" s="6"/>
      <c r="AY15" s="6"/>
    </row>
    <row r="16" spans="1:55" hidden="1" x14ac:dyDescent="0.25">
      <c r="A16" s="6"/>
      <c r="B16" s="10"/>
      <c r="C16" s="10"/>
      <c r="D16" s="10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30"/>
      <c r="AB16" s="6"/>
      <c r="AC16" s="6"/>
      <c r="AD16" s="6"/>
      <c r="AE16" s="6"/>
      <c r="AF16" s="7"/>
      <c r="AG16" s="6"/>
      <c r="AH16" s="6"/>
      <c r="AI16" s="6"/>
      <c r="AJ16" s="8"/>
      <c r="AK16" s="6"/>
      <c r="AL16" s="6"/>
      <c r="AM16" s="6"/>
      <c r="AN16" s="30"/>
      <c r="AO16" s="6"/>
      <c r="AP16" s="31"/>
      <c r="AQ16" s="6"/>
      <c r="AR16" s="6"/>
      <c r="AS16" s="6"/>
      <c r="AT16" s="6"/>
      <c r="AU16" s="6"/>
      <c r="AV16" s="6"/>
      <c r="AW16" s="6"/>
      <c r="AX16" s="6"/>
      <c r="AY16" s="6"/>
    </row>
    <row r="17" spans="1:51" hidden="1" x14ac:dyDescent="0.25">
      <c r="A17" s="6"/>
      <c r="B17" s="10"/>
      <c r="C17" s="10"/>
      <c r="D17" s="10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30"/>
      <c r="AB17" s="6"/>
      <c r="AC17" s="6"/>
      <c r="AD17" s="6"/>
      <c r="AE17" s="6"/>
      <c r="AF17" s="7"/>
      <c r="AG17" s="6"/>
      <c r="AH17" s="6"/>
      <c r="AI17" s="6"/>
      <c r="AJ17" s="8"/>
      <c r="AK17" s="6"/>
      <c r="AL17" s="6"/>
      <c r="AM17" s="6"/>
      <c r="AN17" s="30"/>
      <c r="AO17" s="6"/>
      <c r="AP17" s="31"/>
      <c r="AQ17" s="6"/>
      <c r="AR17" s="6"/>
      <c r="AS17" s="6"/>
      <c r="AT17" s="6"/>
      <c r="AU17" s="6"/>
      <c r="AV17" s="6"/>
      <c r="AW17" s="6"/>
      <c r="AX17" s="6"/>
      <c r="AY17" s="6"/>
    </row>
    <row r="18" spans="1:51" hidden="1" x14ac:dyDescent="0.25">
      <c r="A18" s="6"/>
      <c r="B18" s="10"/>
      <c r="C18" s="10"/>
      <c r="D18" s="10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30"/>
      <c r="AB18" s="6"/>
      <c r="AC18" s="6"/>
      <c r="AD18" s="6"/>
      <c r="AE18" s="6"/>
      <c r="AF18" s="7"/>
      <c r="AG18" s="6"/>
      <c r="AH18" s="6"/>
      <c r="AI18" s="6"/>
      <c r="AJ18" s="8"/>
      <c r="AK18" s="6"/>
      <c r="AL18" s="6"/>
      <c r="AM18" s="6"/>
      <c r="AN18" s="30"/>
      <c r="AO18" s="6"/>
      <c r="AP18" s="31"/>
      <c r="AQ18" s="6"/>
      <c r="AR18" s="6"/>
      <c r="AS18" s="6"/>
      <c r="AT18" s="6"/>
      <c r="AU18" s="6"/>
      <c r="AV18" s="6"/>
      <c r="AW18" s="6"/>
      <c r="AX18" s="6"/>
      <c r="AY18" s="6"/>
    </row>
    <row r="19" spans="1:51" hidden="1" x14ac:dyDescent="0.25">
      <c r="A19" s="6"/>
      <c r="B19" s="10"/>
      <c r="C19" s="10"/>
      <c r="D19" s="10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30"/>
      <c r="AB19" s="6"/>
      <c r="AC19" s="6"/>
      <c r="AD19" s="6"/>
      <c r="AE19" s="6"/>
      <c r="AF19" s="7"/>
      <c r="AG19" s="6"/>
      <c r="AH19" s="6"/>
      <c r="AI19" s="6"/>
      <c r="AJ19" s="8"/>
      <c r="AK19" s="6"/>
      <c r="AL19" s="6"/>
      <c r="AM19" s="6"/>
      <c r="AN19" s="30"/>
      <c r="AO19" s="6"/>
      <c r="AP19" s="31"/>
      <c r="AQ19" s="6"/>
      <c r="AR19" s="6"/>
      <c r="AS19" s="6"/>
      <c r="AT19" s="6"/>
      <c r="AU19" s="6"/>
      <c r="AV19" s="6"/>
      <c r="AW19" s="6"/>
      <c r="AX19" s="6"/>
      <c r="AY19" s="6"/>
    </row>
    <row r="20" spans="1:51" hidden="1" x14ac:dyDescent="0.25">
      <c r="A20" s="6"/>
      <c r="B20" s="10"/>
      <c r="C20" s="10"/>
      <c r="D20" s="10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30"/>
      <c r="AB20" s="6"/>
      <c r="AC20" s="6"/>
      <c r="AD20" s="6"/>
      <c r="AE20" s="6"/>
      <c r="AF20" s="7"/>
      <c r="AG20" s="6"/>
      <c r="AH20" s="6"/>
      <c r="AI20" s="6"/>
      <c r="AJ20" s="8"/>
      <c r="AK20" s="6"/>
      <c r="AL20" s="6"/>
      <c r="AM20" s="6"/>
      <c r="AN20" s="30"/>
      <c r="AO20" s="6"/>
      <c r="AP20" s="31"/>
      <c r="AQ20" s="6"/>
      <c r="AR20" s="6"/>
      <c r="AS20" s="6"/>
      <c r="AT20" s="6"/>
      <c r="AU20" s="6"/>
      <c r="AV20" s="6"/>
      <c r="AW20" s="6"/>
      <c r="AX20" s="6"/>
      <c r="AY20" s="6"/>
    </row>
    <row r="21" spans="1:51" hidden="1" x14ac:dyDescent="0.25">
      <c r="A21" s="6"/>
      <c r="B21" s="10"/>
      <c r="C21" s="10"/>
      <c r="D21" s="10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30"/>
      <c r="AB21" s="6"/>
      <c r="AC21" s="6"/>
      <c r="AD21" s="6"/>
      <c r="AE21" s="6"/>
      <c r="AF21" s="7"/>
      <c r="AG21" s="6"/>
      <c r="AH21" s="6"/>
      <c r="AI21" s="6"/>
      <c r="AJ21" s="8"/>
      <c r="AK21" s="6"/>
      <c r="AL21" s="6"/>
      <c r="AM21" s="6"/>
      <c r="AN21" s="30"/>
      <c r="AO21" s="6"/>
      <c r="AP21" s="31"/>
      <c r="AQ21" s="6"/>
      <c r="AR21" s="6"/>
      <c r="AS21" s="6"/>
      <c r="AT21" s="6"/>
      <c r="AU21" s="6"/>
      <c r="AV21" s="6"/>
      <c r="AW21" s="6"/>
      <c r="AX21" s="6"/>
      <c r="AY21" s="6"/>
    </row>
    <row r="22" spans="1:51" hidden="1" x14ac:dyDescent="0.25">
      <c r="A22" s="6"/>
      <c r="B22" s="10"/>
      <c r="C22" s="10"/>
      <c r="D22" s="10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30"/>
      <c r="AB22" s="6"/>
      <c r="AC22" s="6"/>
      <c r="AD22" s="6"/>
      <c r="AE22" s="6"/>
      <c r="AF22" s="7"/>
      <c r="AG22" s="6"/>
      <c r="AH22" s="6"/>
      <c r="AI22" s="6"/>
      <c r="AJ22" s="8"/>
      <c r="AK22" s="6"/>
      <c r="AL22" s="6"/>
      <c r="AM22" s="6"/>
      <c r="AN22" s="30"/>
      <c r="AO22" s="6"/>
      <c r="AP22" s="31"/>
      <c r="AQ22" s="6"/>
      <c r="AR22" s="6"/>
      <c r="AS22" s="6"/>
      <c r="AT22" s="6"/>
      <c r="AU22" s="6"/>
      <c r="AV22" s="6"/>
      <c r="AW22" s="6"/>
      <c r="AX22" s="6"/>
      <c r="AY22" s="6"/>
    </row>
    <row r="23" spans="1:51" hidden="1" x14ac:dyDescent="0.25">
      <c r="A23" s="6"/>
      <c r="B23" s="10"/>
      <c r="C23" s="10"/>
      <c r="D23" s="10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30"/>
      <c r="AB23" s="6"/>
      <c r="AC23" s="6"/>
      <c r="AD23" s="6"/>
      <c r="AE23" s="6"/>
      <c r="AF23" s="7"/>
      <c r="AG23" s="6"/>
      <c r="AH23" s="6"/>
      <c r="AI23" s="6"/>
      <c r="AJ23" s="8"/>
      <c r="AK23" s="6"/>
      <c r="AL23" s="6"/>
      <c r="AM23" s="6"/>
      <c r="AN23" s="30"/>
      <c r="AO23" s="6"/>
      <c r="AP23" s="31"/>
      <c r="AQ23" s="6"/>
      <c r="AR23" s="6"/>
      <c r="AS23" s="6"/>
      <c r="AT23" s="6"/>
      <c r="AU23" s="6"/>
      <c r="AV23" s="6"/>
      <c r="AW23" s="6"/>
      <c r="AX23" s="6"/>
      <c r="AY23" s="6"/>
    </row>
    <row r="24" spans="1:51" hidden="1" x14ac:dyDescent="0.25">
      <c r="A24" s="6"/>
      <c r="B24" s="10"/>
      <c r="C24" s="10"/>
      <c r="D24" s="10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30"/>
      <c r="AB24" s="6"/>
      <c r="AC24" s="6"/>
      <c r="AD24" s="6"/>
      <c r="AE24" s="6"/>
      <c r="AF24" s="7"/>
      <c r="AG24" s="6"/>
      <c r="AH24" s="6"/>
      <c r="AI24" s="6"/>
      <c r="AJ24" s="8"/>
      <c r="AK24" s="6"/>
      <c r="AL24" s="6"/>
      <c r="AM24" s="6"/>
      <c r="AN24" s="30"/>
      <c r="AO24" s="6"/>
      <c r="AP24" s="31"/>
      <c r="AQ24" s="6"/>
      <c r="AR24" s="6"/>
      <c r="AS24" s="6"/>
      <c r="AT24" s="6"/>
      <c r="AU24" s="6"/>
      <c r="AV24" s="6"/>
      <c r="AW24" s="6"/>
      <c r="AX24" s="6"/>
      <c r="AY24" s="6"/>
    </row>
    <row r="25" spans="1:51" hidden="1" x14ac:dyDescent="0.25">
      <c r="A25" s="6"/>
      <c r="B25" s="10"/>
      <c r="C25" s="10"/>
      <c r="D25" s="10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30"/>
      <c r="AB25" s="6"/>
      <c r="AC25" s="6"/>
      <c r="AD25" s="6"/>
      <c r="AE25" s="6"/>
      <c r="AF25" s="7"/>
      <c r="AG25" s="6"/>
      <c r="AH25" s="6"/>
      <c r="AI25" s="6"/>
      <c r="AJ25" s="8"/>
      <c r="AK25" s="6"/>
      <c r="AL25" s="6"/>
      <c r="AM25" s="6"/>
      <c r="AN25" s="30"/>
      <c r="AO25" s="6"/>
      <c r="AP25" s="31"/>
      <c r="AQ25" s="6"/>
      <c r="AR25" s="6"/>
      <c r="AS25" s="6"/>
      <c r="AT25" s="6"/>
      <c r="AU25" s="6"/>
      <c r="AV25" s="6"/>
      <c r="AW25" s="6"/>
      <c r="AX25" s="6"/>
      <c r="AY25" s="6"/>
    </row>
    <row r="26" spans="1:51" hidden="1" x14ac:dyDescent="0.25">
      <c r="A26" s="6"/>
      <c r="B26" s="10"/>
      <c r="C26" s="10"/>
      <c r="D26" s="10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30"/>
      <c r="AB26" s="6"/>
      <c r="AC26" s="6"/>
      <c r="AD26" s="6"/>
      <c r="AE26" s="6"/>
      <c r="AF26" s="7"/>
      <c r="AG26" s="6"/>
      <c r="AH26" s="6"/>
      <c r="AI26" s="6"/>
      <c r="AJ26" s="8"/>
      <c r="AK26" s="6"/>
      <c r="AL26" s="6"/>
      <c r="AM26" s="6"/>
      <c r="AN26" s="30"/>
      <c r="AO26" s="6"/>
      <c r="AP26" s="31"/>
      <c r="AQ26" s="6"/>
      <c r="AR26" s="6"/>
      <c r="AS26" s="6"/>
      <c r="AT26" s="6"/>
      <c r="AU26" s="6"/>
      <c r="AV26" s="6"/>
      <c r="AW26" s="6"/>
      <c r="AX26" s="6"/>
      <c r="AY26" s="6"/>
    </row>
    <row r="27" spans="1:51" hidden="1" x14ac:dyDescent="0.25">
      <c r="A27" s="6"/>
      <c r="B27" s="10"/>
      <c r="C27" s="10"/>
      <c r="D27" s="10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30"/>
      <c r="AB27" s="6"/>
      <c r="AC27" s="6"/>
      <c r="AD27" s="6"/>
      <c r="AE27" s="6"/>
      <c r="AF27" s="7"/>
      <c r="AG27" s="6"/>
      <c r="AH27" s="6"/>
      <c r="AI27" s="6"/>
      <c r="AJ27" s="8"/>
      <c r="AK27" s="6"/>
      <c r="AL27" s="6"/>
      <c r="AM27" s="6"/>
      <c r="AN27" s="30"/>
      <c r="AO27" s="6"/>
      <c r="AP27" s="31"/>
      <c r="AQ27" s="6"/>
      <c r="AR27" s="6"/>
      <c r="AS27" s="6"/>
      <c r="AT27" s="6"/>
      <c r="AU27" s="6"/>
      <c r="AV27" s="6"/>
      <c r="AW27" s="6"/>
      <c r="AX27" s="6"/>
      <c r="AY27" s="6"/>
    </row>
    <row r="28" spans="1:51" hidden="1" x14ac:dyDescent="0.25">
      <c r="A28" s="6"/>
      <c r="B28" s="10"/>
      <c r="C28" s="10"/>
      <c r="D28" s="10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30"/>
      <c r="AB28" s="6"/>
      <c r="AC28" s="6"/>
      <c r="AD28" s="6"/>
      <c r="AE28" s="6"/>
      <c r="AF28" s="7"/>
      <c r="AG28" s="6"/>
      <c r="AH28" s="6"/>
      <c r="AI28" s="6"/>
      <c r="AJ28" s="8"/>
      <c r="AK28" s="6"/>
      <c r="AL28" s="6"/>
      <c r="AM28" s="6"/>
      <c r="AN28" s="30"/>
      <c r="AO28" s="6"/>
      <c r="AP28" s="31"/>
      <c r="AQ28" s="6"/>
      <c r="AR28" s="6"/>
      <c r="AS28" s="6"/>
      <c r="AT28" s="6"/>
      <c r="AU28" s="6"/>
      <c r="AV28" s="6"/>
      <c r="AW28" s="6"/>
      <c r="AX28" s="6"/>
      <c r="AY28" s="6"/>
    </row>
    <row r="29" spans="1:51" hidden="1" x14ac:dyDescent="0.25">
      <c r="A29" s="6"/>
      <c r="B29" s="10"/>
      <c r="C29" s="10"/>
      <c r="D29" s="10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30"/>
      <c r="AB29" s="6"/>
      <c r="AC29" s="6"/>
      <c r="AD29" s="6"/>
      <c r="AE29" s="6"/>
      <c r="AF29" s="7"/>
      <c r="AG29" s="6"/>
      <c r="AH29" s="6"/>
      <c r="AI29" s="6"/>
      <c r="AJ29" s="8"/>
      <c r="AK29" s="6"/>
      <c r="AL29" s="6"/>
      <c r="AM29" s="6"/>
      <c r="AN29" s="30"/>
      <c r="AO29" s="6"/>
      <c r="AP29" s="31"/>
      <c r="AQ29" s="6"/>
      <c r="AR29" s="6"/>
      <c r="AS29" s="6"/>
      <c r="AT29" s="6"/>
      <c r="AU29" s="6"/>
      <c r="AV29" s="6"/>
      <c r="AW29" s="6"/>
      <c r="AX29" s="6"/>
      <c r="AY29" s="6"/>
    </row>
    <row r="30" spans="1:51" hidden="1" x14ac:dyDescent="0.25">
      <c r="A30" s="6"/>
      <c r="B30" s="10"/>
      <c r="C30" s="10"/>
      <c r="D30" s="10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30"/>
      <c r="AB30" s="6"/>
      <c r="AC30" s="6"/>
      <c r="AD30" s="6"/>
      <c r="AE30" s="6"/>
      <c r="AF30" s="7"/>
      <c r="AG30" s="6"/>
      <c r="AH30" s="6"/>
      <c r="AI30" s="6"/>
      <c r="AJ30" s="8"/>
      <c r="AK30" s="6"/>
      <c r="AL30" s="6"/>
      <c r="AM30" s="6"/>
      <c r="AN30" s="30"/>
      <c r="AO30" s="6"/>
      <c r="AP30" s="31"/>
      <c r="AQ30" s="6"/>
      <c r="AR30" s="6"/>
      <c r="AS30" s="6"/>
      <c r="AT30" s="6"/>
      <c r="AU30" s="6"/>
      <c r="AV30" s="6"/>
      <c r="AW30" s="6"/>
      <c r="AX30" s="6"/>
      <c r="AY30" s="6"/>
    </row>
    <row r="31" spans="1:51" hidden="1" x14ac:dyDescent="0.25">
      <c r="A31" s="6"/>
      <c r="B31" s="10"/>
      <c r="C31" s="10"/>
      <c r="D31" s="10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30"/>
      <c r="AB31" s="6"/>
      <c r="AC31" s="6"/>
      <c r="AD31" s="6"/>
      <c r="AE31" s="6"/>
      <c r="AF31" s="7"/>
      <c r="AG31" s="6"/>
      <c r="AH31" s="6"/>
      <c r="AI31" s="6"/>
      <c r="AJ31" s="8"/>
      <c r="AK31" s="6"/>
      <c r="AL31" s="6"/>
      <c r="AM31" s="6"/>
      <c r="AN31" s="30"/>
      <c r="AO31" s="6"/>
      <c r="AP31" s="31"/>
      <c r="AQ31" s="6"/>
      <c r="AR31" s="6"/>
      <c r="AS31" s="6"/>
      <c r="AT31" s="6"/>
      <c r="AU31" s="6"/>
      <c r="AV31" s="6"/>
      <c r="AW31" s="6"/>
      <c r="AX31" s="6"/>
      <c r="AY31" s="6"/>
    </row>
    <row r="32" spans="1:51" hidden="1" x14ac:dyDescent="0.25">
      <c r="A32" s="6"/>
      <c r="B32" s="10"/>
      <c r="C32" s="10"/>
      <c r="D32" s="10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30"/>
      <c r="AB32" s="6"/>
      <c r="AC32" s="6"/>
      <c r="AD32" s="6"/>
      <c r="AE32" s="6"/>
      <c r="AF32" s="7"/>
      <c r="AG32" s="6"/>
      <c r="AH32" s="6"/>
      <c r="AI32" s="6"/>
      <c r="AJ32" s="8"/>
      <c r="AK32" s="6"/>
      <c r="AL32" s="6"/>
      <c r="AM32" s="6"/>
      <c r="AN32" s="30"/>
      <c r="AO32" s="6"/>
      <c r="AP32" s="31"/>
      <c r="AQ32" s="6"/>
      <c r="AR32" s="6"/>
      <c r="AS32" s="6"/>
      <c r="AT32" s="6"/>
      <c r="AU32" s="6"/>
      <c r="AV32" s="6"/>
      <c r="AW32" s="6"/>
      <c r="AX32" s="6"/>
      <c r="AY32" s="6"/>
    </row>
    <row r="33" spans="1:51" hidden="1" x14ac:dyDescent="0.25">
      <c r="A33" s="6"/>
      <c r="B33" s="10"/>
      <c r="C33" s="10"/>
      <c r="D33" s="10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30"/>
      <c r="AB33" s="6"/>
      <c r="AC33" s="6"/>
      <c r="AD33" s="6"/>
      <c r="AE33" s="6"/>
      <c r="AF33" s="7"/>
      <c r="AG33" s="6"/>
      <c r="AH33" s="6"/>
      <c r="AI33" s="6"/>
      <c r="AJ33" s="8"/>
      <c r="AK33" s="6"/>
      <c r="AL33" s="6"/>
      <c r="AM33" s="6"/>
      <c r="AN33" s="30"/>
      <c r="AO33" s="6"/>
      <c r="AP33" s="31"/>
      <c r="AQ33" s="6"/>
      <c r="AR33" s="6"/>
      <c r="AS33" s="6"/>
      <c r="AT33" s="6"/>
      <c r="AU33" s="6"/>
      <c r="AV33" s="6"/>
      <c r="AW33" s="6"/>
      <c r="AX33" s="6"/>
      <c r="AY33" s="6"/>
    </row>
    <row r="34" spans="1:51" hidden="1" x14ac:dyDescent="0.25">
      <c r="A34" s="6"/>
      <c r="B34" s="10"/>
      <c r="C34" s="10"/>
      <c r="D34" s="10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30"/>
      <c r="AB34" s="6"/>
      <c r="AC34" s="6"/>
      <c r="AD34" s="6"/>
      <c r="AE34" s="6"/>
      <c r="AF34" s="7"/>
      <c r="AG34" s="6"/>
      <c r="AH34" s="6"/>
      <c r="AI34" s="6"/>
      <c r="AJ34" s="8"/>
      <c r="AK34" s="6"/>
      <c r="AL34" s="6"/>
      <c r="AM34" s="6"/>
      <c r="AN34" s="30"/>
      <c r="AO34" s="6"/>
      <c r="AP34" s="31"/>
      <c r="AQ34" s="6"/>
      <c r="AR34" s="6"/>
      <c r="AS34" s="6"/>
      <c r="AT34" s="6"/>
      <c r="AU34" s="6"/>
      <c r="AV34" s="6"/>
      <c r="AW34" s="6"/>
      <c r="AX34" s="6"/>
      <c r="AY34" s="6"/>
    </row>
    <row r="35" spans="1:51" hidden="1" x14ac:dyDescent="0.25">
      <c r="A35" s="6"/>
      <c r="B35" s="10"/>
      <c r="C35" s="10"/>
      <c r="D35" s="10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30"/>
      <c r="AB35" s="6"/>
      <c r="AC35" s="6"/>
      <c r="AD35" s="6"/>
      <c r="AE35" s="6"/>
      <c r="AF35" s="7"/>
      <c r="AG35" s="6"/>
      <c r="AH35" s="6"/>
      <c r="AI35" s="6"/>
      <c r="AJ35" s="8"/>
      <c r="AK35" s="6"/>
      <c r="AL35" s="6"/>
      <c r="AM35" s="6"/>
      <c r="AN35" s="30"/>
      <c r="AO35" s="6"/>
      <c r="AP35" s="31"/>
      <c r="AQ35" s="6"/>
      <c r="AR35" s="6"/>
      <c r="AS35" s="6"/>
      <c r="AT35" s="6"/>
      <c r="AU35" s="6"/>
      <c r="AV35" s="6"/>
      <c r="AW35" s="6"/>
      <c r="AX35" s="6"/>
      <c r="AY35" s="6"/>
    </row>
    <row r="36" spans="1:51" hidden="1" x14ac:dyDescent="0.25">
      <c r="A36" s="6"/>
      <c r="B36" s="10"/>
      <c r="C36" s="10"/>
      <c r="D36" s="10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30"/>
      <c r="AB36" s="6"/>
      <c r="AC36" s="6"/>
      <c r="AD36" s="6"/>
      <c r="AE36" s="6"/>
      <c r="AF36" s="7"/>
      <c r="AG36" s="6"/>
      <c r="AH36" s="6"/>
      <c r="AI36" s="6"/>
      <c r="AJ36" s="8"/>
      <c r="AK36" s="6"/>
      <c r="AL36" s="6"/>
      <c r="AM36" s="6"/>
      <c r="AN36" s="30"/>
      <c r="AO36" s="6"/>
      <c r="AP36" s="31"/>
      <c r="AQ36" s="6"/>
      <c r="AR36" s="6"/>
      <c r="AS36" s="6"/>
      <c r="AT36" s="6"/>
      <c r="AU36" s="6"/>
      <c r="AV36" s="6"/>
      <c r="AW36" s="6"/>
      <c r="AX36" s="6"/>
      <c r="AY36" s="6"/>
    </row>
    <row r="37" spans="1:51" hidden="1" x14ac:dyDescent="0.25">
      <c r="A37" s="6"/>
      <c r="B37" s="10"/>
      <c r="C37" s="10"/>
      <c r="D37" s="10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30"/>
      <c r="AB37" s="6"/>
      <c r="AC37" s="6"/>
      <c r="AD37" s="6"/>
      <c r="AE37" s="6"/>
      <c r="AF37" s="7"/>
      <c r="AG37" s="6"/>
      <c r="AH37" s="6"/>
      <c r="AI37" s="6"/>
      <c r="AJ37" s="8"/>
      <c r="AK37" s="6"/>
      <c r="AL37" s="6"/>
      <c r="AM37" s="6"/>
      <c r="AN37" s="30"/>
      <c r="AO37" s="6"/>
      <c r="AP37" s="31"/>
      <c r="AQ37" s="6"/>
      <c r="AR37" s="6"/>
      <c r="AS37" s="6"/>
      <c r="AT37" s="6"/>
      <c r="AU37" s="6"/>
      <c r="AV37" s="6"/>
      <c r="AW37" s="6"/>
      <c r="AX37" s="6"/>
      <c r="AY37" s="6"/>
    </row>
    <row r="38" spans="1:51" hidden="1" x14ac:dyDescent="0.25">
      <c r="A38" s="6"/>
      <c r="B38" s="10"/>
      <c r="C38" s="10"/>
      <c r="D38" s="10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30"/>
      <c r="AB38" s="6"/>
      <c r="AC38" s="6"/>
      <c r="AD38" s="6"/>
      <c r="AE38" s="6"/>
      <c r="AF38" s="7"/>
      <c r="AG38" s="6"/>
      <c r="AH38" s="6"/>
      <c r="AI38" s="6"/>
      <c r="AJ38" s="8"/>
      <c r="AK38" s="6"/>
      <c r="AL38" s="6"/>
      <c r="AM38" s="6"/>
      <c r="AN38" s="30"/>
      <c r="AO38" s="6"/>
      <c r="AP38" s="31"/>
      <c r="AQ38" s="6"/>
      <c r="AR38" s="6"/>
      <c r="AS38" s="6"/>
      <c r="AT38" s="6"/>
      <c r="AU38" s="6"/>
      <c r="AV38" s="6"/>
      <c r="AW38" s="6"/>
      <c r="AX38" s="6"/>
      <c r="AY38" s="6"/>
    </row>
    <row r="39" spans="1:51" hidden="1" x14ac:dyDescent="0.25">
      <c r="A39" s="6"/>
      <c r="B39" s="10"/>
      <c r="C39" s="10"/>
      <c r="D39" s="10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30"/>
      <c r="AB39" s="6"/>
      <c r="AC39" s="6"/>
      <c r="AD39" s="6"/>
      <c r="AE39" s="6"/>
      <c r="AF39" s="7"/>
      <c r="AG39" s="6"/>
      <c r="AH39" s="6"/>
      <c r="AI39" s="6"/>
      <c r="AJ39" s="8"/>
      <c r="AK39" s="6"/>
      <c r="AL39" s="6"/>
      <c r="AM39" s="6"/>
      <c r="AN39" s="30"/>
      <c r="AO39" s="6"/>
      <c r="AP39" s="31"/>
      <c r="AQ39" s="6"/>
      <c r="AR39" s="6"/>
      <c r="AS39" s="6"/>
      <c r="AT39" s="6"/>
      <c r="AU39" s="6"/>
      <c r="AV39" s="6"/>
      <c r="AW39" s="6"/>
      <c r="AX39" s="6"/>
      <c r="AY39" s="6"/>
    </row>
    <row r="40" spans="1:51" hidden="1" x14ac:dyDescent="0.25">
      <c r="A40" s="6"/>
      <c r="B40" s="10"/>
      <c r="C40" s="10"/>
      <c r="D40" s="10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30"/>
      <c r="AB40" s="6"/>
      <c r="AC40" s="6"/>
      <c r="AD40" s="6"/>
      <c r="AE40" s="6"/>
      <c r="AF40" s="7"/>
      <c r="AG40" s="6"/>
      <c r="AH40" s="6"/>
      <c r="AI40" s="6"/>
      <c r="AJ40" s="8"/>
      <c r="AK40" s="6"/>
      <c r="AL40" s="6"/>
      <c r="AM40" s="6"/>
      <c r="AN40" s="30"/>
      <c r="AO40" s="6"/>
      <c r="AP40" s="31"/>
      <c r="AQ40" s="6"/>
      <c r="AR40" s="6"/>
      <c r="AS40" s="6"/>
      <c r="AT40" s="6"/>
      <c r="AU40" s="6"/>
      <c r="AV40" s="6"/>
      <c r="AW40" s="6"/>
      <c r="AX40" s="6"/>
      <c r="AY40" s="6"/>
    </row>
    <row r="41" spans="1:51" hidden="1" x14ac:dyDescent="0.25">
      <c r="A41" s="6"/>
      <c r="B41" s="10"/>
      <c r="C41" s="10"/>
      <c r="D41" s="10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30"/>
      <c r="AB41" s="6"/>
      <c r="AC41" s="6"/>
      <c r="AD41" s="6"/>
      <c r="AE41" s="6"/>
      <c r="AF41" s="7"/>
      <c r="AG41" s="6"/>
      <c r="AH41" s="6"/>
      <c r="AI41" s="6"/>
      <c r="AJ41" s="8"/>
      <c r="AK41" s="6"/>
      <c r="AL41" s="6"/>
      <c r="AM41" s="6"/>
      <c r="AN41" s="30"/>
      <c r="AO41" s="6"/>
      <c r="AP41" s="31"/>
      <c r="AQ41" s="6"/>
      <c r="AR41" s="6"/>
      <c r="AS41" s="6"/>
      <c r="AT41" s="6"/>
      <c r="AU41" s="6"/>
      <c r="AV41" s="6"/>
      <c r="AW41" s="6"/>
      <c r="AX41" s="6"/>
      <c r="AY41" s="6"/>
    </row>
    <row r="42" spans="1:51" hidden="1" x14ac:dyDescent="0.25">
      <c r="A42" s="6"/>
      <c r="B42" s="10"/>
      <c r="C42" s="10"/>
      <c r="D42" s="10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30"/>
      <c r="AB42" s="6"/>
      <c r="AC42" s="6"/>
      <c r="AD42" s="6"/>
      <c r="AE42" s="6"/>
      <c r="AF42" s="7"/>
      <c r="AG42" s="6"/>
      <c r="AH42" s="6"/>
      <c r="AI42" s="6"/>
      <c r="AJ42" s="8"/>
      <c r="AK42" s="6"/>
      <c r="AL42" s="6"/>
      <c r="AM42" s="6"/>
      <c r="AN42" s="30"/>
      <c r="AO42" s="6"/>
      <c r="AP42" s="31"/>
      <c r="AQ42" s="6"/>
      <c r="AR42" s="6"/>
      <c r="AS42" s="6"/>
      <c r="AT42" s="6"/>
      <c r="AU42" s="6"/>
      <c r="AV42" s="6"/>
      <c r="AW42" s="6"/>
      <c r="AX42" s="6"/>
      <c r="AY42" s="6"/>
    </row>
    <row r="43" spans="1:51" hidden="1" x14ac:dyDescent="0.25">
      <c r="A43" s="6"/>
      <c r="B43" s="10"/>
      <c r="C43" s="10"/>
      <c r="D43" s="10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30"/>
      <c r="AB43" s="6"/>
      <c r="AC43" s="6"/>
      <c r="AD43" s="6"/>
      <c r="AE43" s="6"/>
      <c r="AF43" s="7"/>
      <c r="AG43" s="6"/>
      <c r="AH43" s="6"/>
      <c r="AI43" s="6"/>
      <c r="AJ43" s="8"/>
      <c r="AK43" s="6"/>
      <c r="AL43" s="6"/>
      <c r="AM43" s="6"/>
      <c r="AN43" s="30"/>
      <c r="AO43" s="6"/>
      <c r="AP43" s="31"/>
      <c r="AQ43" s="6"/>
      <c r="AR43" s="6"/>
      <c r="AS43" s="6"/>
      <c r="AT43" s="6"/>
      <c r="AU43" s="6"/>
      <c r="AV43" s="6"/>
      <c r="AW43" s="6"/>
      <c r="AX43" s="6"/>
      <c r="AY43" s="6"/>
    </row>
    <row r="44" spans="1:51" hidden="1" x14ac:dyDescent="0.25">
      <c r="A44" s="6"/>
      <c r="B44" s="10"/>
      <c r="C44" s="10"/>
      <c r="D44" s="10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30"/>
      <c r="AB44" s="6"/>
      <c r="AC44" s="6"/>
      <c r="AD44" s="6"/>
      <c r="AE44" s="6"/>
      <c r="AF44" s="7"/>
      <c r="AG44" s="6"/>
      <c r="AH44" s="6"/>
      <c r="AI44" s="6"/>
      <c r="AJ44" s="8"/>
      <c r="AK44" s="6"/>
      <c r="AL44" s="6"/>
      <c r="AM44" s="6"/>
      <c r="AN44" s="30"/>
      <c r="AO44" s="6"/>
      <c r="AP44" s="31"/>
      <c r="AQ44" s="6"/>
      <c r="AR44" s="6"/>
      <c r="AS44" s="6"/>
      <c r="AT44" s="6"/>
      <c r="AU44" s="6"/>
      <c r="AV44" s="6"/>
      <c r="AW44" s="6"/>
      <c r="AX44" s="6"/>
      <c r="AY44" s="6"/>
    </row>
    <row r="45" spans="1:51" hidden="1" x14ac:dyDescent="0.25">
      <c r="A45" s="6"/>
      <c r="B45" s="10"/>
      <c r="C45" s="10"/>
      <c r="D45" s="10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30"/>
      <c r="AB45" s="6"/>
      <c r="AC45" s="6"/>
      <c r="AD45" s="6"/>
      <c r="AE45" s="6"/>
      <c r="AF45" s="7"/>
      <c r="AG45" s="6"/>
      <c r="AH45" s="6"/>
      <c r="AI45" s="6"/>
      <c r="AJ45" s="8"/>
      <c r="AK45" s="6"/>
      <c r="AL45" s="6"/>
      <c r="AM45" s="6"/>
      <c r="AN45" s="30"/>
      <c r="AO45" s="6"/>
      <c r="AP45" s="31"/>
      <c r="AQ45" s="6"/>
      <c r="AR45" s="6"/>
      <c r="AS45" s="6"/>
      <c r="AT45" s="6"/>
      <c r="AU45" s="6"/>
      <c r="AV45" s="6"/>
      <c r="AW45" s="6"/>
      <c r="AX45" s="6"/>
      <c r="AY45" s="6"/>
    </row>
    <row r="46" spans="1:51" hidden="1" x14ac:dyDescent="0.25">
      <c r="A46" s="6"/>
      <c r="B46" s="10"/>
      <c r="C46" s="10"/>
      <c r="D46" s="10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30"/>
      <c r="AB46" s="6"/>
      <c r="AC46" s="6"/>
      <c r="AD46" s="6"/>
      <c r="AE46" s="6"/>
      <c r="AF46" s="7"/>
      <c r="AG46" s="6"/>
      <c r="AH46" s="6"/>
      <c r="AI46" s="6"/>
      <c r="AJ46" s="8"/>
      <c r="AK46" s="6"/>
      <c r="AL46" s="6"/>
      <c r="AM46" s="6"/>
      <c r="AN46" s="30"/>
      <c r="AO46" s="6"/>
      <c r="AP46" s="31"/>
      <c r="AQ46" s="6"/>
      <c r="AR46" s="6"/>
      <c r="AS46" s="6"/>
      <c r="AT46" s="6"/>
      <c r="AU46" s="6"/>
      <c r="AV46" s="6"/>
      <c r="AW46" s="6"/>
      <c r="AX46" s="6"/>
      <c r="AY46" s="6"/>
    </row>
    <row r="47" spans="1:51" hidden="1" x14ac:dyDescent="0.25">
      <c r="A47" s="6"/>
      <c r="B47" s="10"/>
      <c r="C47" s="10"/>
      <c r="D47" s="10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30"/>
      <c r="AB47" s="6"/>
      <c r="AC47" s="6"/>
      <c r="AD47" s="6"/>
      <c r="AE47" s="6"/>
      <c r="AF47" s="7"/>
      <c r="AG47" s="6"/>
      <c r="AH47" s="6"/>
      <c r="AI47" s="6"/>
      <c r="AJ47" s="8"/>
      <c r="AK47" s="6"/>
      <c r="AL47" s="6"/>
      <c r="AM47" s="6"/>
      <c r="AN47" s="30"/>
      <c r="AO47" s="6"/>
      <c r="AP47" s="31"/>
      <c r="AQ47" s="6"/>
      <c r="AR47" s="6"/>
      <c r="AS47" s="6"/>
      <c r="AT47" s="6"/>
      <c r="AU47" s="6"/>
      <c r="AV47" s="6"/>
      <c r="AW47" s="6"/>
      <c r="AX47" s="6"/>
      <c r="AY47" s="6"/>
    </row>
    <row r="48" spans="1:51" hidden="1" x14ac:dyDescent="0.25">
      <c r="A48" s="6"/>
      <c r="B48" s="10"/>
      <c r="C48" s="10"/>
      <c r="D48" s="10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30"/>
      <c r="AB48" s="6"/>
      <c r="AC48" s="6"/>
      <c r="AD48" s="6"/>
      <c r="AE48" s="6"/>
      <c r="AF48" s="7"/>
      <c r="AG48" s="6"/>
      <c r="AH48" s="6"/>
      <c r="AI48" s="6"/>
      <c r="AJ48" s="8"/>
      <c r="AK48" s="6"/>
      <c r="AL48" s="6"/>
      <c r="AM48" s="6"/>
      <c r="AN48" s="30"/>
      <c r="AO48" s="6"/>
      <c r="AP48" s="31"/>
      <c r="AQ48" s="6"/>
      <c r="AR48" s="6"/>
      <c r="AS48" s="6"/>
      <c r="AT48" s="6"/>
      <c r="AU48" s="6"/>
      <c r="AV48" s="6"/>
      <c r="AW48" s="6"/>
      <c r="AX48" s="6"/>
      <c r="AY48" s="6"/>
    </row>
    <row r="49" spans="1:51" hidden="1" x14ac:dyDescent="0.25">
      <c r="A49" s="6"/>
      <c r="B49" s="10"/>
      <c r="C49" s="10"/>
      <c r="D49" s="10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30"/>
      <c r="AB49" s="6"/>
      <c r="AC49" s="6"/>
      <c r="AD49" s="6"/>
      <c r="AE49" s="6"/>
      <c r="AF49" s="7"/>
      <c r="AG49" s="6"/>
      <c r="AH49" s="6"/>
      <c r="AI49" s="6"/>
      <c r="AJ49" s="8"/>
      <c r="AK49" s="6"/>
      <c r="AL49" s="6"/>
      <c r="AM49" s="6"/>
      <c r="AN49" s="30"/>
      <c r="AO49" s="6"/>
      <c r="AP49" s="31"/>
      <c r="AQ49" s="6"/>
      <c r="AR49" s="6"/>
      <c r="AS49" s="6"/>
      <c r="AT49" s="6"/>
      <c r="AU49" s="6"/>
      <c r="AV49" s="6"/>
      <c r="AW49" s="6"/>
      <c r="AX49" s="6"/>
      <c r="AY49" s="6"/>
    </row>
    <row r="50" spans="1:51" hidden="1" x14ac:dyDescent="0.25">
      <c r="A50" s="6"/>
      <c r="B50" s="10"/>
      <c r="C50" s="10"/>
      <c r="D50" s="10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30"/>
      <c r="AB50" s="6"/>
      <c r="AC50" s="6"/>
      <c r="AD50" s="6"/>
      <c r="AE50" s="6"/>
      <c r="AF50" s="7"/>
      <c r="AG50" s="6"/>
      <c r="AH50" s="6"/>
      <c r="AI50" s="6"/>
      <c r="AJ50" s="8"/>
      <c r="AK50" s="6"/>
      <c r="AL50" s="6"/>
      <c r="AM50" s="6"/>
      <c r="AN50" s="30"/>
      <c r="AO50" s="6"/>
      <c r="AP50" s="31"/>
      <c r="AQ50" s="6"/>
      <c r="AR50" s="6"/>
      <c r="AS50" s="6"/>
      <c r="AT50" s="6"/>
      <c r="AU50" s="6"/>
      <c r="AV50" s="6"/>
      <c r="AW50" s="6"/>
      <c r="AX50" s="6"/>
      <c r="AY50" s="6"/>
    </row>
    <row r="51" spans="1:51" hidden="1" x14ac:dyDescent="0.25">
      <c r="A51" s="6"/>
      <c r="B51" s="10"/>
      <c r="C51" s="10"/>
      <c r="D51" s="10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30"/>
      <c r="AB51" s="6"/>
      <c r="AC51" s="6"/>
      <c r="AD51" s="6"/>
      <c r="AE51" s="6"/>
      <c r="AF51" s="7"/>
      <c r="AG51" s="6"/>
      <c r="AH51" s="6"/>
      <c r="AI51" s="6"/>
      <c r="AJ51" s="8"/>
      <c r="AK51" s="6"/>
      <c r="AL51" s="6"/>
      <c r="AM51" s="6"/>
      <c r="AN51" s="30"/>
      <c r="AO51" s="6"/>
      <c r="AP51" s="31"/>
      <c r="AQ51" s="6"/>
      <c r="AR51" s="6"/>
      <c r="AS51" s="6"/>
      <c r="AT51" s="6"/>
      <c r="AU51" s="6"/>
      <c r="AV51" s="6"/>
      <c r="AW51" s="6"/>
      <c r="AX51" s="6"/>
      <c r="AY51" s="6"/>
    </row>
    <row r="52" spans="1:51" hidden="1" x14ac:dyDescent="0.25">
      <c r="A52" s="6"/>
      <c r="B52" s="10"/>
      <c r="C52" s="10"/>
      <c r="D52" s="10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30"/>
      <c r="AB52" s="6"/>
      <c r="AC52" s="6"/>
      <c r="AD52" s="6"/>
      <c r="AE52" s="6"/>
      <c r="AF52" s="7"/>
      <c r="AG52" s="6"/>
      <c r="AH52" s="6"/>
      <c r="AI52" s="6"/>
      <c r="AJ52" s="8"/>
      <c r="AK52" s="6"/>
      <c r="AL52" s="6"/>
      <c r="AM52" s="6"/>
      <c r="AN52" s="30"/>
      <c r="AO52" s="6"/>
      <c r="AP52" s="31"/>
      <c r="AQ52" s="6"/>
      <c r="AR52" s="6"/>
      <c r="AS52" s="6"/>
      <c r="AT52" s="6"/>
      <c r="AU52" s="6"/>
      <c r="AV52" s="6"/>
      <c r="AW52" s="6"/>
      <c r="AX52" s="6"/>
      <c r="AY52" s="6"/>
    </row>
    <row r="53" spans="1:51" hidden="1" x14ac:dyDescent="0.25">
      <c r="A53" s="6"/>
      <c r="B53" s="10"/>
      <c r="C53" s="10"/>
      <c r="D53" s="10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30"/>
      <c r="AB53" s="6"/>
      <c r="AC53" s="6"/>
      <c r="AD53" s="6"/>
      <c r="AE53" s="6"/>
      <c r="AF53" s="7"/>
      <c r="AG53" s="6"/>
      <c r="AH53" s="6"/>
      <c r="AI53" s="6"/>
      <c r="AJ53" s="8"/>
      <c r="AK53" s="6"/>
      <c r="AL53" s="6"/>
      <c r="AM53" s="6"/>
      <c r="AN53" s="30"/>
      <c r="AO53" s="6"/>
      <c r="AP53" s="31"/>
      <c r="AQ53" s="6"/>
      <c r="AR53" s="6"/>
      <c r="AS53" s="6"/>
      <c r="AT53" s="6"/>
      <c r="AU53" s="6"/>
      <c r="AV53" s="6"/>
      <c r="AW53" s="6"/>
      <c r="AX53" s="6"/>
      <c r="AY53" s="6"/>
    </row>
    <row r="54" spans="1:51" hidden="1" x14ac:dyDescent="0.25">
      <c r="A54" s="6"/>
      <c r="B54" s="10"/>
      <c r="C54" s="10"/>
      <c r="D54" s="10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30"/>
      <c r="AB54" s="6"/>
      <c r="AC54" s="6"/>
      <c r="AD54" s="6"/>
      <c r="AE54" s="6"/>
      <c r="AF54" s="7"/>
      <c r="AG54" s="6"/>
      <c r="AH54" s="6"/>
      <c r="AI54" s="6"/>
      <c r="AJ54" s="8"/>
      <c r="AK54" s="6"/>
      <c r="AL54" s="6"/>
      <c r="AM54" s="6"/>
      <c r="AN54" s="30"/>
      <c r="AO54" s="6"/>
      <c r="AP54" s="31"/>
      <c r="AQ54" s="6"/>
      <c r="AR54" s="6"/>
      <c r="AS54" s="6"/>
      <c r="AT54" s="6"/>
      <c r="AU54" s="6"/>
      <c r="AV54" s="6"/>
      <c r="AW54" s="6"/>
      <c r="AX54" s="6"/>
      <c r="AY54" s="6"/>
    </row>
    <row r="55" spans="1:51" hidden="1" x14ac:dyDescent="0.25">
      <c r="A55" s="6"/>
      <c r="B55" s="10"/>
      <c r="C55" s="10"/>
      <c r="D55" s="10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30"/>
      <c r="AB55" s="6"/>
      <c r="AC55" s="6"/>
      <c r="AD55" s="6"/>
      <c r="AE55" s="6"/>
      <c r="AF55" s="7"/>
      <c r="AG55" s="6"/>
      <c r="AH55" s="6"/>
      <c r="AI55" s="6"/>
      <c r="AJ55" s="8"/>
      <c r="AK55" s="6"/>
      <c r="AL55" s="6"/>
      <c r="AM55" s="6"/>
      <c r="AN55" s="30"/>
      <c r="AO55" s="6"/>
      <c r="AP55" s="31"/>
      <c r="AQ55" s="6"/>
      <c r="AR55" s="6"/>
      <c r="AS55" s="6"/>
      <c r="AT55" s="6"/>
      <c r="AU55" s="6"/>
      <c r="AV55" s="6"/>
      <c r="AW55" s="6"/>
      <c r="AX55" s="6"/>
      <c r="AY55" s="6"/>
    </row>
    <row r="56" spans="1:51" hidden="1" x14ac:dyDescent="0.25">
      <c r="A56" s="6"/>
      <c r="B56" s="10"/>
      <c r="C56" s="10"/>
      <c r="D56" s="10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30"/>
      <c r="AB56" s="6"/>
      <c r="AC56" s="6"/>
      <c r="AD56" s="6"/>
      <c r="AE56" s="6"/>
      <c r="AF56" s="7"/>
      <c r="AG56" s="6"/>
      <c r="AH56" s="6"/>
      <c r="AI56" s="6"/>
      <c r="AJ56" s="8"/>
      <c r="AK56" s="6"/>
      <c r="AL56" s="6"/>
      <c r="AM56" s="6"/>
      <c r="AN56" s="30"/>
      <c r="AO56" s="6"/>
      <c r="AP56" s="31"/>
      <c r="AQ56" s="6"/>
      <c r="AR56" s="6"/>
      <c r="AS56" s="6"/>
      <c r="AT56" s="6"/>
      <c r="AU56" s="6"/>
      <c r="AV56" s="6"/>
      <c r="AW56" s="6"/>
      <c r="AX56" s="6"/>
      <c r="AY56" s="6"/>
    </row>
    <row r="57" spans="1:51" hidden="1" x14ac:dyDescent="0.25">
      <c r="A57" s="6"/>
      <c r="B57" s="10"/>
      <c r="C57" s="10"/>
      <c r="D57" s="10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30"/>
      <c r="AB57" s="6"/>
      <c r="AC57" s="6"/>
      <c r="AD57" s="6"/>
      <c r="AE57" s="6"/>
      <c r="AF57" s="7"/>
      <c r="AG57" s="6"/>
      <c r="AH57" s="6"/>
      <c r="AI57" s="6"/>
      <c r="AJ57" s="8"/>
      <c r="AK57" s="6"/>
      <c r="AL57" s="6"/>
      <c r="AM57" s="6"/>
      <c r="AN57" s="30"/>
      <c r="AO57" s="6"/>
      <c r="AP57" s="31"/>
      <c r="AQ57" s="6"/>
      <c r="AR57" s="6"/>
      <c r="AS57" s="6"/>
      <c r="AT57" s="6"/>
      <c r="AU57" s="6"/>
      <c r="AV57" s="6"/>
      <c r="AW57" s="6"/>
      <c r="AX57" s="6"/>
      <c r="AY57" s="6"/>
    </row>
    <row r="58" spans="1:51" hidden="1" x14ac:dyDescent="0.25">
      <c r="A58" s="6"/>
      <c r="B58" s="10"/>
      <c r="C58" s="10"/>
      <c r="D58" s="10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30"/>
      <c r="AB58" s="6"/>
      <c r="AC58" s="6"/>
      <c r="AD58" s="6"/>
      <c r="AE58" s="6"/>
      <c r="AF58" s="7"/>
      <c r="AG58" s="6"/>
      <c r="AH58" s="6"/>
      <c r="AI58" s="6"/>
      <c r="AJ58" s="8"/>
      <c r="AK58" s="6"/>
      <c r="AL58" s="6"/>
      <c r="AM58" s="6"/>
      <c r="AN58" s="30"/>
      <c r="AO58" s="6"/>
      <c r="AP58" s="31"/>
      <c r="AQ58" s="6"/>
      <c r="AR58" s="6"/>
      <c r="AS58" s="6"/>
      <c r="AT58" s="6"/>
      <c r="AU58" s="6"/>
      <c r="AV58" s="6"/>
      <c r="AW58" s="6"/>
      <c r="AX58" s="6"/>
      <c r="AY58" s="6"/>
    </row>
    <row r="59" spans="1:51" hidden="1" x14ac:dyDescent="0.25">
      <c r="A59" s="6"/>
      <c r="B59" s="10"/>
      <c r="C59" s="10"/>
      <c r="D59" s="10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30"/>
      <c r="AB59" s="6"/>
      <c r="AC59" s="6"/>
      <c r="AD59" s="6"/>
      <c r="AE59" s="6"/>
      <c r="AF59" s="7"/>
      <c r="AG59" s="6"/>
      <c r="AH59" s="6"/>
      <c r="AI59" s="6"/>
      <c r="AJ59" s="8"/>
      <c r="AK59" s="6"/>
      <c r="AL59" s="6"/>
      <c r="AM59" s="6"/>
      <c r="AN59" s="30"/>
      <c r="AO59" s="6"/>
      <c r="AP59" s="31"/>
      <c r="AQ59" s="6"/>
      <c r="AR59" s="6"/>
      <c r="AS59" s="6"/>
      <c r="AT59" s="6"/>
      <c r="AU59" s="6"/>
      <c r="AV59" s="6"/>
      <c r="AW59" s="6"/>
      <c r="AX59" s="6"/>
      <c r="AY59" s="6"/>
    </row>
    <row r="60" spans="1:51" hidden="1" x14ac:dyDescent="0.25">
      <c r="A60" s="6"/>
      <c r="B60" s="10"/>
      <c r="C60" s="10"/>
      <c r="D60" s="10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30"/>
      <c r="AB60" s="6"/>
      <c r="AC60" s="6"/>
      <c r="AD60" s="6"/>
      <c r="AE60" s="6"/>
      <c r="AF60" s="7"/>
      <c r="AG60" s="6"/>
      <c r="AH60" s="6"/>
      <c r="AI60" s="6"/>
      <c r="AJ60" s="8"/>
      <c r="AK60" s="6"/>
      <c r="AL60" s="6"/>
      <c r="AM60" s="6"/>
      <c r="AN60" s="30"/>
      <c r="AO60" s="6"/>
      <c r="AP60" s="31"/>
      <c r="AQ60" s="6"/>
      <c r="AR60" s="6"/>
      <c r="AS60" s="6"/>
      <c r="AT60" s="6"/>
      <c r="AU60" s="6"/>
      <c r="AV60" s="6"/>
      <c r="AW60" s="6"/>
      <c r="AX60" s="6"/>
      <c r="AY60" s="6"/>
    </row>
    <row r="61" spans="1:51" hidden="1" x14ac:dyDescent="0.25">
      <c r="A61" s="6"/>
      <c r="B61" s="10"/>
      <c r="C61" s="10"/>
      <c r="D61" s="10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30"/>
      <c r="AB61" s="6"/>
      <c r="AC61" s="6"/>
      <c r="AD61" s="6"/>
      <c r="AE61" s="6"/>
      <c r="AF61" s="7"/>
      <c r="AG61" s="6"/>
      <c r="AH61" s="6"/>
      <c r="AI61" s="6"/>
      <c r="AJ61" s="8"/>
      <c r="AK61" s="6"/>
      <c r="AL61" s="6"/>
      <c r="AM61" s="6"/>
      <c r="AN61" s="30"/>
      <c r="AO61" s="6"/>
      <c r="AP61" s="31"/>
      <c r="AQ61" s="6"/>
      <c r="AR61" s="6"/>
      <c r="AS61" s="6"/>
      <c r="AT61" s="6"/>
      <c r="AU61" s="6"/>
      <c r="AV61" s="6"/>
      <c r="AW61" s="6"/>
      <c r="AX61" s="6"/>
      <c r="AY61" s="6"/>
    </row>
    <row r="62" spans="1:51" hidden="1" x14ac:dyDescent="0.25">
      <c r="A62" s="6"/>
      <c r="B62" s="10"/>
      <c r="C62" s="10"/>
      <c r="D62" s="10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30"/>
      <c r="AB62" s="6"/>
      <c r="AC62" s="6"/>
      <c r="AD62" s="6"/>
      <c r="AE62" s="6"/>
      <c r="AF62" s="7"/>
      <c r="AG62" s="6"/>
      <c r="AH62" s="6"/>
      <c r="AI62" s="6"/>
      <c r="AJ62" s="8"/>
      <c r="AK62" s="6"/>
      <c r="AL62" s="6"/>
      <c r="AM62" s="6"/>
      <c r="AN62" s="30"/>
      <c r="AO62" s="6"/>
      <c r="AP62" s="31"/>
      <c r="AQ62" s="6"/>
      <c r="AR62" s="6"/>
      <c r="AS62" s="6"/>
      <c r="AT62" s="6"/>
      <c r="AU62" s="6"/>
      <c r="AV62" s="6"/>
      <c r="AW62" s="6"/>
      <c r="AX62" s="6"/>
      <c r="AY62" s="6"/>
    </row>
    <row r="63" spans="1:51" hidden="1" x14ac:dyDescent="0.25">
      <c r="A63" s="6"/>
      <c r="B63" s="10"/>
      <c r="C63" s="10"/>
      <c r="D63" s="10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30"/>
      <c r="AB63" s="6"/>
      <c r="AC63" s="6"/>
      <c r="AD63" s="6"/>
      <c r="AE63" s="6"/>
      <c r="AF63" s="7"/>
      <c r="AG63" s="6"/>
      <c r="AH63" s="6"/>
      <c r="AI63" s="6"/>
      <c r="AJ63" s="8"/>
      <c r="AK63" s="6"/>
      <c r="AL63" s="6"/>
      <c r="AM63" s="6"/>
      <c r="AN63" s="30"/>
      <c r="AO63" s="6"/>
      <c r="AP63" s="31"/>
      <c r="AQ63" s="6"/>
      <c r="AR63" s="6"/>
      <c r="AS63" s="6"/>
      <c r="AT63" s="6"/>
      <c r="AU63" s="6"/>
      <c r="AV63" s="6"/>
      <c r="AW63" s="6"/>
      <c r="AX63" s="6"/>
      <c r="AY63" s="6"/>
    </row>
    <row r="64" spans="1:51" hidden="1" x14ac:dyDescent="0.25">
      <c r="A64" s="6"/>
      <c r="B64" s="10"/>
      <c r="C64" s="10"/>
      <c r="D64" s="10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30"/>
      <c r="AB64" s="6"/>
      <c r="AC64" s="6"/>
      <c r="AD64" s="6"/>
      <c r="AE64" s="6"/>
      <c r="AF64" s="7"/>
      <c r="AG64" s="6"/>
      <c r="AH64" s="6"/>
      <c r="AI64" s="6"/>
      <c r="AJ64" s="8"/>
      <c r="AK64" s="6"/>
      <c r="AL64" s="6"/>
      <c r="AM64" s="6"/>
      <c r="AN64" s="30"/>
      <c r="AO64" s="6"/>
      <c r="AP64" s="31"/>
      <c r="AQ64" s="6"/>
      <c r="AR64" s="6"/>
      <c r="AS64" s="6"/>
      <c r="AT64" s="6"/>
      <c r="AU64" s="6"/>
      <c r="AV64" s="6"/>
      <c r="AW64" s="6"/>
      <c r="AX64" s="6"/>
      <c r="AY64" s="6"/>
    </row>
    <row r="65" spans="1:51" hidden="1" x14ac:dyDescent="0.25">
      <c r="A65" s="6"/>
      <c r="B65" s="10"/>
      <c r="C65" s="10"/>
      <c r="D65" s="10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30"/>
      <c r="AB65" s="6"/>
      <c r="AC65" s="6"/>
      <c r="AD65" s="6"/>
      <c r="AE65" s="6"/>
      <c r="AF65" s="7"/>
      <c r="AG65" s="6"/>
      <c r="AH65" s="6"/>
      <c r="AI65" s="6"/>
      <c r="AJ65" s="8"/>
      <c r="AK65" s="6"/>
      <c r="AL65" s="6"/>
      <c r="AM65" s="6"/>
      <c r="AN65" s="30"/>
      <c r="AO65" s="6"/>
      <c r="AP65" s="31"/>
      <c r="AQ65" s="6"/>
      <c r="AR65" s="6"/>
      <c r="AS65" s="6"/>
      <c r="AT65" s="6"/>
      <c r="AU65" s="6"/>
      <c r="AV65" s="6"/>
      <c r="AW65" s="6"/>
      <c r="AX65" s="6"/>
      <c r="AY65" s="6"/>
    </row>
    <row r="66" spans="1:51" hidden="1" x14ac:dyDescent="0.25">
      <c r="A66" s="6"/>
      <c r="B66" s="10"/>
      <c r="C66" s="10"/>
      <c r="D66" s="10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30"/>
      <c r="AB66" s="6"/>
      <c r="AC66" s="6"/>
      <c r="AD66" s="6"/>
      <c r="AE66" s="6"/>
      <c r="AF66" s="7"/>
      <c r="AG66" s="6"/>
      <c r="AH66" s="6"/>
      <c r="AI66" s="6"/>
      <c r="AJ66" s="8"/>
      <c r="AK66" s="6"/>
      <c r="AL66" s="6"/>
      <c r="AM66" s="6"/>
      <c r="AN66" s="30"/>
      <c r="AO66" s="6"/>
      <c r="AP66" s="31"/>
      <c r="AQ66" s="6"/>
      <c r="AR66" s="6"/>
      <c r="AS66" s="6"/>
      <c r="AT66" s="6"/>
      <c r="AU66" s="6"/>
      <c r="AV66" s="6"/>
      <c r="AW66" s="6"/>
      <c r="AX66" s="6"/>
      <c r="AY66" s="6"/>
    </row>
    <row r="67" spans="1:51" hidden="1" x14ac:dyDescent="0.25">
      <c r="A67" s="6"/>
      <c r="B67" s="10"/>
      <c r="C67" s="10"/>
      <c r="D67" s="10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30"/>
      <c r="AB67" s="6"/>
      <c r="AC67" s="6"/>
      <c r="AD67" s="6"/>
      <c r="AE67" s="6"/>
      <c r="AF67" s="7"/>
      <c r="AG67" s="6"/>
      <c r="AH67" s="6"/>
      <c r="AI67" s="6"/>
      <c r="AJ67" s="8"/>
      <c r="AK67" s="6"/>
      <c r="AL67" s="6"/>
      <c r="AM67" s="6"/>
      <c r="AN67" s="30"/>
      <c r="AO67" s="6"/>
      <c r="AP67" s="31"/>
      <c r="AQ67" s="6"/>
      <c r="AR67" s="6"/>
      <c r="AS67" s="6"/>
      <c r="AT67" s="6"/>
      <c r="AU67" s="6"/>
      <c r="AV67" s="6"/>
      <c r="AW67" s="6"/>
      <c r="AX67" s="6"/>
      <c r="AY67" s="6"/>
    </row>
    <row r="68" spans="1:51" hidden="1" x14ac:dyDescent="0.25">
      <c r="A68" s="6"/>
      <c r="B68" s="10"/>
      <c r="C68" s="10"/>
      <c r="D68" s="10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30"/>
      <c r="AB68" s="6"/>
      <c r="AC68" s="6"/>
      <c r="AD68" s="6"/>
      <c r="AE68" s="6"/>
      <c r="AF68" s="7"/>
      <c r="AG68" s="6"/>
      <c r="AH68" s="6"/>
      <c r="AI68" s="6"/>
      <c r="AJ68" s="8"/>
      <c r="AK68" s="6"/>
      <c r="AL68" s="6"/>
      <c r="AM68" s="6"/>
      <c r="AN68" s="30"/>
      <c r="AO68" s="6"/>
      <c r="AP68" s="31"/>
      <c r="AQ68" s="6"/>
      <c r="AR68" s="6"/>
      <c r="AS68" s="6"/>
      <c r="AT68" s="6"/>
      <c r="AU68" s="6"/>
      <c r="AV68" s="6"/>
      <c r="AW68" s="6"/>
      <c r="AX68" s="6"/>
      <c r="AY68" s="6"/>
    </row>
    <row r="69" spans="1:51" hidden="1" x14ac:dyDescent="0.25">
      <c r="A69" s="6"/>
      <c r="B69" s="10"/>
      <c r="C69" s="10"/>
      <c r="D69" s="10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30"/>
      <c r="AB69" s="6"/>
      <c r="AC69" s="6"/>
      <c r="AD69" s="6"/>
      <c r="AE69" s="6"/>
      <c r="AF69" s="7"/>
      <c r="AG69" s="6"/>
      <c r="AH69" s="6"/>
      <c r="AI69" s="6"/>
      <c r="AJ69" s="8"/>
      <c r="AK69" s="6"/>
      <c r="AL69" s="6"/>
      <c r="AM69" s="6"/>
      <c r="AN69" s="30"/>
      <c r="AO69" s="6"/>
      <c r="AP69" s="31"/>
      <c r="AQ69" s="6"/>
      <c r="AR69" s="6"/>
      <c r="AS69" s="6"/>
      <c r="AT69" s="6"/>
      <c r="AU69" s="6"/>
      <c r="AV69" s="6"/>
      <c r="AW69" s="6"/>
      <c r="AX69" s="6"/>
      <c r="AY69" s="6"/>
    </row>
    <row r="70" spans="1:51" hidden="1" x14ac:dyDescent="0.25">
      <c r="A70" s="6"/>
      <c r="B70" s="10"/>
      <c r="C70" s="10"/>
      <c r="D70" s="10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30"/>
      <c r="AB70" s="6"/>
      <c r="AC70" s="6"/>
      <c r="AD70" s="6"/>
      <c r="AE70" s="6"/>
      <c r="AF70" s="7"/>
      <c r="AG70" s="6"/>
      <c r="AH70" s="6"/>
      <c r="AI70" s="6"/>
      <c r="AJ70" s="8"/>
      <c r="AK70" s="6"/>
      <c r="AL70" s="6"/>
      <c r="AM70" s="6"/>
      <c r="AN70" s="30"/>
      <c r="AO70" s="6"/>
      <c r="AP70" s="31"/>
      <c r="AQ70" s="6"/>
      <c r="AR70" s="6"/>
      <c r="AS70" s="6"/>
      <c r="AT70" s="6"/>
      <c r="AU70" s="6"/>
      <c r="AV70" s="6"/>
      <c r="AW70" s="6"/>
      <c r="AX70" s="6"/>
      <c r="AY70" s="6"/>
    </row>
    <row r="71" spans="1:51" hidden="1" x14ac:dyDescent="0.25">
      <c r="A71" s="6"/>
      <c r="B71" s="10"/>
      <c r="C71" s="10"/>
      <c r="D71" s="10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30"/>
      <c r="AB71" s="6"/>
      <c r="AC71" s="6"/>
      <c r="AD71" s="6"/>
      <c r="AE71" s="6"/>
      <c r="AF71" s="7"/>
      <c r="AG71" s="6"/>
      <c r="AH71" s="6"/>
      <c r="AI71" s="6"/>
      <c r="AJ71" s="8"/>
      <c r="AK71" s="6"/>
      <c r="AL71" s="6"/>
      <c r="AM71" s="6"/>
      <c r="AN71" s="30"/>
      <c r="AO71" s="6"/>
      <c r="AP71" s="31"/>
      <c r="AQ71" s="6"/>
      <c r="AR71" s="6"/>
      <c r="AS71" s="6"/>
      <c r="AT71" s="6"/>
      <c r="AU71" s="6"/>
      <c r="AV71" s="6"/>
      <c r="AW71" s="6"/>
      <c r="AX71" s="6"/>
      <c r="AY71" s="6"/>
    </row>
    <row r="72" spans="1:51" hidden="1" x14ac:dyDescent="0.25">
      <c r="A72" s="6"/>
      <c r="B72" s="10"/>
      <c r="C72" s="10"/>
      <c r="D72" s="10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30"/>
      <c r="AB72" s="6"/>
      <c r="AC72" s="6"/>
      <c r="AD72" s="6"/>
      <c r="AE72" s="6"/>
      <c r="AF72" s="7"/>
      <c r="AG72" s="6"/>
      <c r="AH72" s="6"/>
      <c r="AI72" s="6"/>
      <c r="AJ72" s="8"/>
      <c r="AK72" s="6"/>
      <c r="AL72" s="6"/>
      <c r="AM72" s="6"/>
      <c r="AN72" s="30"/>
      <c r="AO72" s="6"/>
      <c r="AP72" s="31"/>
      <c r="AQ72" s="6"/>
      <c r="AR72" s="6"/>
      <c r="AS72" s="6"/>
      <c r="AT72" s="6"/>
      <c r="AU72" s="6"/>
      <c r="AV72" s="6"/>
      <c r="AW72" s="6"/>
      <c r="AX72" s="6"/>
      <c r="AY72" s="6"/>
    </row>
    <row r="73" spans="1:51" hidden="1" x14ac:dyDescent="0.25">
      <c r="A73" s="6"/>
      <c r="B73" s="10"/>
      <c r="C73" s="10"/>
      <c r="D73" s="10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30"/>
      <c r="AB73" s="6"/>
      <c r="AC73" s="6"/>
      <c r="AD73" s="6"/>
      <c r="AE73" s="6"/>
      <c r="AF73" s="7"/>
      <c r="AG73" s="6"/>
      <c r="AH73" s="6"/>
      <c r="AI73" s="6"/>
      <c r="AJ73" s="8"/>
      <c r="AK73" s="6"/>
      <c r="AL73" s="6"/>
      <c r="AM73" s="6"/>
      <c r="AN73" s="30"/>
      <c r="AO73" s="6"/>
      <c r="AP73" s="31"/>
      <c r="AQ73" s="6"/>
      <c r="AR73" s="6"/>
      <c r="AS73" s="6"/>
      <c r="AT73" s="6"/>
      <c r="AU73" s="6"/>
      <c r="AV73" s="6"/>
      <c r="AW73" s="6"/>
      <c r="AX73" s="6"/>
      <c r="AY73" s="6"/>
    </row>
    <row r="74" spans="1:51" hidden="1" x14ac:dyDescent="0.25">
      <c r="A74" s="6"/>
      <c r="B74" s="10"/>
      <c r="C74" s="10"/>
      <c r="D74" s="10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30"/>
      <c r="AB74" s="6"/>
      <c r="AC74" s="6"/>
      <c r="AD74" s="6"/>
      <c r="AE74" s="6"/>
      <c r="AF74" s="7"/>
      <c r="AG74" s="6"/>
      <c r="AH74" s="6"/>
      <c r="AI74" s="6"/>
      <c r="AJ74" s="8"/>
      <c r="AK74" s="6"/>
      <c r="AL74" s="6"/>
      <c r="AM74" s="6"/>
      <c r="AN74" s="30"/>
      <c r="AO74" s="6"/>
      <c r="AP74" s="31"/>
      <c r="AQ74" s="6"/>
      <c r="AR74" s="6"/>
      <c r="AS74" s="6"/>
      <c r="AT74" s="6"/>
      <c r="AU74" s="6"/>
      <c r="AV74" s="6"/>
      <c r="AW74" s="6"/>
      <c r="AX74" s="6"/>
      <c r="AY74" s="6"/>
    </row>
    <row r="75" spans="1:51" hidden="1" x14ac:dyDescent="0.25">
      <c r="A75" s="6"/>
      <c r="B75" s="10"/>
      <c r="C75" s="10"/>
      <c r="D75" s="10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30"/>
      <c r="AB75" s="6"/>
      <c r="AC75" s="6"/>
      <c r="AD75" s="6"/>
      <c r="AE75" s="6"/>
      <c r="AF75" s="7"/>
      <c r="AG75" s="6"/>
      <c r="AH75" s="6"/>
      <c r="AI75" s="6"/>
      <c r="AJ75" s="8"/>
      <c r="AK75" s="6"/>
      <c r="AL75" s="6"/>
      <c r="AM75" s="6"/>
      <c r="AN75" s="30"/>
      <c r="AO75" s="6"/>
      <c r="AP75" s="31"/>
      <c r="AQ75" s="6"/>
      <c r="AR75" s="6"/>
      <c r="AS75" s="6"/>
      <c r="AT75" s="6"/>
      <c r="AU75" s="6"/>
      <c r="AV75" s="6"/>
      <c r="AW75" s="6"/>
      <c r="AX75" s="6"/>
      <c r="AY75" s="6"/>
    </row>
    <row r="76" spans="1:51" hidden="1" x14ac:dyDescent="0.25">
      <c r="A76" s="6"/>
      <c r="B76" s="10"/>
      <c r="C76" s="10"/>
      <c r="D76" s="10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30"/>
      <c r="AB76" s="6"/>
      <c r="AC76" s="6"/>
      <c r="AD76" s="6"/>
      <c r="AE76" s="6"/>
      <c r="AF76" s="7"/>
      <c r="AG76" s="6"/>
      <c r="AH76" s="6"/>
      <c r="AI76" s="6"/>
      <c r="AJ76" s="8"/>
      <c r="AK76" s="6"/>
      <c r="AL76" s="6"/>
      <c r="AM76" s="6"/>
      <c r="AN76" s="30"/>
      <c r="AO76" s="6"/>
      <c r="AP76" s="31"/>
      <c r="AQ76" s="6"/>
      <c r="AR76" s="6"/>
      <c r="AS76" s="6"/>
      <c r="AT76" s="6"/>
      <c r="AU76" s="6"/>
      <c r="AV76" s="6"/>
      <c r="AW76" s="6"/>
      <c r="AX76" s="6"/>
      <c r="AY76" s="6"/>
    </row>
    <row r="77" spans="1:51" hidden="1" x14ac:dyDescent="0.25">
      <c r="A77" s="6"/>
      <c r="B77" s="10"/>
      <c r="C77" s="10"/>
      <c r="D77" s="10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30"/>
      <c r="AB77" s="6"/>
      <c r="AC77" s="6"/>
      <c r="AD77" s="6"/>
      <c r="AE77" s="6"/>
      <c r="AF77" s="7"/>
      <c r="AG77" s="6"/>
      <c r="AH77" s="6"/>
      <c r="AI77" s="6"/>
      <c r="AJ77" s="8"/>
      <c r="AK77" s="6"/>
      <c r="AL77" s="6"/>
      <c r="AM77" s="6"/>
      <c r="AN77" s="30"/>
      <c r="AO77" s="6"/>
      <c r="AP77" s="31"/>
      <c r="AQ77" s="6"/>
      <c r="AR77" s="6"/>
      <c r="AS77" s="6"/>
      <c r="AT77" s="6"/>
      <c r="AU77" s="6"/>
      <c r="AV77" s="6"/>
      <c r="AW77" s="6"/>
      <c r="AX77" s="6"/>
      <c r="AY77" s="6"/>
    </row>
    <row r="78" spans="1:51" hidden="1" x14ac:dyDescent="0.25">
      <c r="A78" s="6"/>
      <c r="B78" s="10"/>
      <c r="C78" s="10"/>
      <c r="D78" s="10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30"/>
      <c r="AB78" s="6"/>
      <c r="AC78" s="6"/>
      <c r="AD78" s="6"/>
      <c r="AE78" s="6"/>
      <c r="AF78" s="7"/>
      <c r="AG78" s="6"/>
      <c r="AH78" s="6"/>
      <c r="AI78" s="6"/>
      <c r="AJ78" s="8"/>
      <c r="AK78" s="6"/>
      <c r="AL78" s="6"/>
      <c r="AM78" s="6"/>
      <c r="AN78" s="30"/>
      <c r="AO78" s="6"/>
      <c r="AP78" s="31"/>
      <c r="AQ78" s="6"/>
      <c r="AR78" s="6"/>
      <c r="AS78" s="6"/>
      <c r="AT78" s="6"/>
      <c r="AU78" s="6"/>
      <c r="AV78" s="6"/>
      <c r="AW78" s="6"/>
      <c r="AX78" s="6"/>
      <c r="AY78" s="6"/>
    </row>
    <row r="79" spans="1:51" hidden="1" x14ac:dyDescent="0.25">
      <c r="A79" s="6"/>
      <c r="B79" s="10"/>
      <c r="C79" s="10"/>
      <c r="D79" s="10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30"/>
      <c r="AB79" s="6"/>
      <c r="AC79" s="6"/>
      <c r="AD79" s="6"/>
      <c r="AE79" s="6"/>
      <c r="AF79" s="7"/>
      <c r="AG79" s="6"/>
      <c r="AH79" s="6"/>
      <c r="AI79" s="6"/>
      <c r="AJ79" s="8"/>
      <c r="AK79" s="6"/>
      <c r="AL79" s="6"/>
      <c r="AM79" s="6"/>
      <c r="AN79" s="30"/>
      <c r="AO79" s="6"/>
      <c r="AP79" s="31"/>
      <c r="AQ79" s="6"/>
      <c r="AR79" s="6"/>
      <c r="AS79" s="6"/>
      <c r="AT79" s="6"/>
      <c r="AU79" s="6"/>
      <c r="AV79" s="6"/>
      <c r="AW79" s="6"/>
      <c r="AX79" s="6"/>
      <c r="AY79" s="6"/>
    </row>
    <row r="80" spans="1:51" hidden="1" x14ac:dyDescent="0.25">
      <c r="A80" s="6"/>
      <c r="B80" s="10"/>
      <c r="C80" s="10"/>
      <c r="D80" s="10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30"/>
      <c r="AB80" s="6"/>
      <c r="AC80" s="6"/>
      <c r="AD80" s="6"/>
      <c r="AE80" s="6"/>
      <c r="AF80" s="7"/>
      <c r="AG80" s="6"/>
      <c r="AH80" s="6"/>
      <c r="AI80" s="6"/>
      <c r="AJ80" s="8"/>
      <c r="AK80" s="6"/>
      <c r="AL80" s="6"/>
      <c r="AM80" s="6"/>
      <c r="AN80" s="30"/>
      <c r="AO80" s="6"/>
      <c r="AP80" s="31"/>
      <c r="AQ80" s="6"/>
      <c r="AR80" s="6"/>
      <c r="AS80" s="6"/>
      <c r="AT80" s="6"/>
      <c r="AU80" s="6"/>
      <c r="AV80" s="6"/>
      <c r="AW80" s="6"/>
      <c r="AX80" s="6"/>
      <c r="AY80" s="6"/>
    </row>
    <row r="81" spans="1:51" hidden="1" x14ac:dyDescent="0.25">
      <c r="A81" s="6"/>
      <c r="B81" s="10"/>
      <c r="C81" s="10"/>
      <c r="D81" s="10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30"/>
      <c r="AB81" s="6"/>
      <c r="AC81" s="6"/>
      <c r="AD81" s="6"/>
      <c r="AE81" s="6"/>
      <c r="AF81" s="7"/>
      <c r="AG81" s="6"/>
      <c r="AH81" s="6"/>
      <c r="AI81" s="6"/>
      <c r="AJ81" s="8"/>
      <c r="AK81" s="6"/>
      <c r="AL81" s="6"/>
      <c r="AM81" s="6"/>
      <c r="AN81" s="30"/>
      <c r="AO81" s="6"/>
      <c r="AP81" s="31"/>
      <c r="AQ81" s="6"/>
      <c r="AR81" s="6"/>
      <c r="AS81" s="6"/>
      <c r="AT81" s="6"/>
      <c r="AU81" s="6"/>
      <c r="AV81" s="6"/>
      <c r="AW81" s="6"/>
      <c r="AX81" s="6"/>
      <c r="AY81" s="6"/>
    </row>
    <row r="82" spans="1:51" hidden="1" x14ac:dyDescent="0.25">
      <c r="A82" s="6"/>
      <c r="B82" s="10"/>
      <c r="C82" s="10"/>
      <c r="D82" s="10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30"/>
      <c r="AB82" s="6"/>
      <c r="AC82" s="6"/>
      <c r="AD82" s="6"/>
      <c r="AE82" s="6"/>
      <c r="AF82" s="7"/>
      <c r="AG82" s="6"/>
      <c r="AH82" s="6"/>
      <c r="AI82" s="6"/>
      <c r="AJ82" s="8"/>
      <c r="AK82" s="6"/>
      <c r="AL82" s="6"/>
      <c r="AM82" s="6"/>
      <c r="AN82" s="30"/>
      <c r="AO82" s="6"/>
      <c r="AP82" s="31"/>
      <c r="AQ82" s="6"/>
      <c r="AR82" s="6"/>
      <c r="AS82" s="6"/>
      <c r="AT82" s="6"/>
      <c r="AU82" s="6"/>
      <c r="AV82" s="6"/>
      <c r="AW82" s="6"/>
      <c r="AX82" s="6"/>
      <c r="AY82" s="6"/>
    </row>
    <row r="83" spans="1:51" hidden="1" x14ac:dyDescent="0.25">
      <c r="A83" s="6"/>
      <c r="B83" s="10"/>
      <c r="C83" s="10"/>
      <c r="D83" s="10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30"/>
      <c r="AB83" s="6"/>
      <c r="AC83" s="6"/>
      <c r="AD83" s="6"/>
      <c r="AE83" s="6"/>
      <c r="AF83" s="7"/>
      <c r="AG83" s="6"/>
      <c r="AH83" s="6"/>
      <c r="AI83" s="6"/>
      <c r="AJ83" s="8"/>
      <c r="AK83" s="6"/>
      <c r="AL83" s="6"/>
      <c r="AM83" s="6"/>
      <c r="AN83" s="30"/>
      <c r="AO83" s="6"/>
      <c r="AP83" s="31"/>
      <c r="AQ83" s="6"/>
      <c r="AR83" s="6"/>
      <c r="AS83" s="6"/>
      <c r="AT83" s="6"/>
      <c r="AU83" s="6"/>
      <c r="AV83" s="6"/>
      <c r="AW83" s="6"/>
      <c r="AX83" s="6"/>
      <c r="AY83" s="6"/>
    </row>
    <row r="84" spans="1:51" hidden="1" x14ac:dyDescent="0.25">
      <c r="A84" s="6"/>
      <c r="B84" s="10"/>
      <c r="C84" s="10"/>
      <c r="D84" s="10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30"/>
      <c r="AB84" s="6"/>
      <c r="AC84" s="6"/>
      <c r="AD84" s="6"/>
      <c r="AE84" s="6"/>
      <c r="AF84" s="7"/>
      <c r="AG84" s="6"/>
      <c r="AH84" s="6"/>
      <c r="AI84" s="6"/>
      <c r="AJ84" s="8"/>
      <c r="AK84" s="6"/>
      <c r="AL84" s="6"/>
      <c r="AM84" s="6"/>
      <c r="AN84" s="30"/>
      <c r="AO84" s="6"/>
      <c r="AP84" s="31"/>
      <c r="AQ84" s="6"/>
      <c r="AR84" s="6"/>
      <c r="AS84" s="6"/>
      <c r="AT84" s="6"/>
      <c r="AU84" s="6"/>
      <c r="AV84" s="6"/>
      <c r="AW84" s="6"/>
      <c r="AX84" s="6"/>
      <c r="AY84" s="6"/>
    </row>
    <row r="85" spans="1:51" hidden="1" x14ac:dyDescent="0.25">
      <c r="A85" s="6"/>
      <c r="B85" s="10"/>
      <c r="C85" s="10"/>
      <c r="D85" s="10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30"/>
      <c r="AB85" s="6"/>
      <c r="AC85" s="6"/>
      <c r="AD85" s="6"/>
      <c r="AE85" s="6"/>
      <c r="AF85" s="7"/>
      <c r="AG85" s="6"/>
      <c r="AH85" s="6"/>
      <c r="AI85" s="6"/>
      <c r="AJ85" s="8"/>
      <c r="AK85" s="6"/>
      <c r="AL85" s="6"/>
      <c r="AM85" s="6"/>
      <c r="AN85" s="30"/>
      <c r="AO85" s="6"/>
      <c r="AP85" s="31"/>
      <c r="AQ85" s="6"/>
      <c r="AR85" s="6"/>
      <c r="AS85" s="6"/>
      <c r="AT85" s="6"/>
      <c r="AU85" s="6"/>
      <c r="AV85" s="6"/>
      <c r="AW85" s="6"/>
      <c r="AX85" s="6"/>
      <c r="AY85" s="6"/>
    </row>
    <row r="86" spans="1:51" hidden="1" x14ac:dyDescent="0.25">
      <c r="A86" s="6"/>
      <c r="B86" s="10"/>
      <c r="C86" s="10"/>
      <c r="D86" s="10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30"/>
      <c r="AB86" s="6"/>
      <c r="AC86" s="6"/>
      <c r="AD86" s="6"/>
      <c r="AE86" s="6"/>
      <c r="AF86" s="7"/>
      <c r="AG86" s="6"/>
      <c r="AH86" s="6"/>
      <c r="AI86" s="6"/>
      <c r="AJ86" s="8"/>
      <c r="AK86" s="6"/>
      <c r="AL86" s="6"/>
      <c r="AM86" s="6"/>
      <c r="AN86" s="30"/>
      <c r="AO86" s="6"/>
      <c r="AP86" s="31"/>
      <c r="AQ86" s="6"/>
      <c r="AR86" s="6"/>
      <c r="AS86" s="6"/>
      <c r="AT86" s="6"/>
      <c r="AU86" s="6"/>
      <c r="AV86" s="6"/>
      <c r="AW86" s="6"/>
      <c r="AX86" s="6"/>
      <c r="AY86" s="6"/>
    </row>
    <row r="87" spans="1:51" hidden="1" x14ac:dyDescent="0.25">
      <c r="A87" s="6"/>
      <c r="B87" s="10"/>
      <c r="C87" s="10"/>
      <c r="D87" s="10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30"/>
      <c r="AB87" s="6"/>
      <c r="AC87" s="6"/>
      <c r="AD87" s="6"/>
      <c r="AE87" s="6"/>
      <c r="AF87" s="7"/>
      <c r="AG87" s="6"/>
      <c r="AH87" s="6"/>
      <c r="AI87" s="6"/>
      <c r="AJ87" s="8"/>
      <c r="AK87" s="6"/>
      <c r="AL87" s="6"/>
      <c r="AM87" s="6"/>
      <c r="AN87" s="30"/>
      <c r="AO87" s="6"/>
      <c r="AP87" s="31"/>
      <c r="AQ87" s="6"/>
      <c r="AR87" s="6"/>
      <c r="AS87" s="6"/>
      <c r="AT87" s="6"/>
      <c r="AU87" s="6"/>
      <c r="AV87" s="6"/>
      <c r="AW87" s="6"/>
      <c r="AX87" s="6"/>
      <c r="AY87" s="6"/>
    </row>
    <row r="88" spans="1:51" hidden="1" x14ac:dyDescent="0.25">
      <c r="A88" s="6"/>
      <c r="B88" s="10"/>
      <c r="C88" s="10"/>
      <c r="D88" s="10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30"/>
      <c r="AB88" s="6"/>
      <c r="AC88" s="6"/>
      <c r="AD88" s="6"/>
      <c r="AE88" s="6"/>
      <c r="AF88" s="7"/>
      <c r="AG88" s="6"/>
      <c r="AH88" s="6"/>
      <c r="AI88" s="6"/>
      <c r="AJ88" s="8"/>
      <c r="AK88" s="6"/>
      <c r="AL88" s="6"/>
      <c r="AM88" s="6"/>
      <c r="AN88" s="30"/>
      <c r="AO88" s="6"/>
      <c r="AP88" s="31"/>
      <c r="AQ88" s="6"/>
      <c r="AR88" s="6"/>
      <c r="AS88" s="6"/>
      <c r="AT88" s="6"/>
      <c r="AU88" s="6"/>
      <c r="AV88" s="6"/>
      <c r="AW88" s="6"/>
      <c r="AX88" s="6"/>
      <c r="AY88" s="6"/>
    </row>
    <row r="89" spans="1:51" hidden="1" x14ac:dyDescent="0.25">
      <c r="A89" s="6"/>
      <c r="B89" s="10"/>
      <c r="C89" s="10"/>
      <c r="D89" s="10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30"/>
      <c r="AB89" s="6"/>
      <c r="AC89" s="6"/>
      <c r="AD89" s="6"/>
      <c r="AE89" s="6"/>
      <c r="AF89" s="7"/>
      <c r="AG89" s="6"/>
      <c r="AH89" s="6"/>
      <c r="AI89" s="6"/>
      <c r="AJ89" s="8"/>
      <c r="AK89" s="6"/>
      <c r="AL89" s="6"/>
      <c r="AM89" s="6"/>
      <c r="AN89" s="30"/>
      <c r="AO89" s="6"/>
      <c r="AP89" s="31"/>
      <c r="AQ89" s="6"/>
      <c r="AR89" s="6"/>
      <c r="AS89" s="6"/>
      <c r="AT89" s="6"/>
      <c r="AU89" s="6"/>
      <c r="AV89" s="6"/>
      <c r="AW89" s="6"/>
      <c r="AX89" s="6"/>
      <c r="AY89" s="6"/>
    </row>
    <row r="90" spans="1:51" hidden="1" x14ac:dyDescent="0.25">
      <c r="A90" s="6"/>
      <c r="B90" s="10"/>
      <c r="C90" s="10"/>
      <c r="D90" s="10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30"/>
      <c r="AB90" s="6"/>
      <c r="AC90" s="6"/>
      <c r="AD90" s="6"/>
      <c r="AE90" s="6"/>
      <c r="AF90" s="7"/>
      <c r="AG90" s="6"/>
      <c r="AH90" s="6"/>
      <c r="AI90" s="6"/>
      <c r="AJ90" s="8"/>
      <c r="AK90" s="6"/>
      <c r="AL90" s="6"/>
      <c r="AM90" s="6"/>
      <c r="AN90" s="30"/>
      <c r="AO90" s="6"/>
      <c r="AP90" s="31"/>
      <c r="AQ90" s="6"/>
      <c r="AR90" s="6"/>
      <c r="AS90" s="6"/>
      <c r="AT90" s="6"/>
      <c r="AU90" s="6"/>
      <c r="AV90" s="6"/>
      <c r="AW90" s="6"/>
      <c r="AX90" s="6"/>
      <c r="AY90" s="6"/>
    </row>
    <row r="91" spans="1:51" hidden="1" x14ac:dyDescent="0.25">
      <c r="A91" s="6"/>
      <c r="B91" s="10"/>
      <c r="C91" s="10"/>
      <c r="D91" s="10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30"/>
      <c r="AB91" s="6"/>
      <c r="AC91" s="6"/>
      <c r="AD91" s="6"/>
      <c r="AE91" s="6"/>
      <c r="AF91" s="7"/>
      <c r="AG91" s="6"/>
      <c r="AH91" s="6"/>
      <c r="AI91" s="6"/>
      <c r="AJ91" s="8"/>
      <c r="AK91" s="6"/>
      <c r="AL91" s="6"/>
      <c r="AM91" s="6"/>
      <c r="AN91" s="30"/>
      <c r="AO91" s="6"/>
      <c r="AP91" s="31"/>
      <c r="AQ91" s="6"/>
      <c r="AR91" s="6"/>
      <c r="AS91" s="6"/>
      <c r="AT91" s="6"/>
      <c r="AU91" s="6"/>
      <c r="AV91" s="6"/>
      <c r="AW91" s="6"/>
      <c r="AX91" s="6"/>
      <c r="AY91" s="6"/>
    </row>
    <row r="92" spans="1:51" hidden="1" x14ac:dyDescent="0.25">
      <c r="A92" s="6"/>
      <c r="B92" s="10"/>
      <c r="C92" s="10"/>
      <c r="D92" s="10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30"/>
      <c r="AB92" s="6"/>
      <c r="AC92" s="6"/>
      <c r="AD92" s="6"/>
      <c r="AE92" s="6"/>
      <c r="AF92" s="7"/>
      <c r="AG92" s="6"/>
      <c r="AH92" s="6"/>
      <c r="AI92" s="6"/>
      <c r="AJ92" s="8"/>
      <c r="AK92" s="6"/>
      <c r="AL92" s="6"/>
      <c r="AM92" s="6"/>
      <c r="AN92" s="30"/>
      <c r="AO92" s="6"/>
      <c r="AP92" s="31"/>
      <c r="AQ92" s="6"/>
      <c r="AR92" s="6"/>
      <c r="AS92" s="6"/>
      <c r="AT92" s="6"/>
      <c r="AU92" s="6"/>
      <c r="AV92" s="6"/>
      <c r="AW92" s="6"/>
      <c r="AX92" s="6"/>
      <c r="AY92" s="6"/>
    </row>
    <row r="93" spans="1:51" hidden="1" x14ac:dyDescent="0.25">
      <c r="A93" s="6"/>
      <c r="B93" s="10"/>
      <c r="C93" s="10"/>
      <c r="D93" s="10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30"/>
      <c r="AB93" s="6"/>
      <c r="AC93" s="6"/>
      <c r="AD93" s="6"/>
      <c r="AE93" s="6"/>
      <c r="AF93" s="7"/>
      <c r="AG93" s="6"/>
      <c r="AH93" s="6"/>
      <c r="AI93" s="6"/>
      <c r="AJ93" s="8"/>
      <c r="AK93" s="6"/>
      <c r="AL93" s="6"/>
      <c r="AM93" s="6"/>
      <c r="AN93" s="30"/>
      <c r="AO93" s="6"/>
      <c r="AP93" s="31"/>
      <c r="AQ93" s="6"/>
      <c r="AR93" s="6"/>
      <c r="AS93" s="6"/>
      <c r="AT93" s="6"/>
      <c r="AU93" s="6"/>
      <c r="AV93" s="6"/>
      <c r="AW93" s="6"/>
      <c r="AX93" s="6"/>
      <c r="AY93" s="6"/>
    </row>
    <row r="94" spans="1:51" hidden="1" x14ac:dyDescent="0.25">
      <c r="A94" s="6"/>
      <c r="B94" s="10"/>
      <c r="C94" s="10"/>
      <c r="D94" s="10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30"/>
      <c r="AB94" s="6"/>
      <c r="AC94" s="6"/>
      <c r="AD94" s="6"/>
      <c r="AE94" s="6"/>
      <c r="AF94" s="7"/>
      <c r="AG94" s="6"/>
      <c r="AH94" s="6"/>
      <c r="AI94" s="6"/>
      <c r="AJ94" s="8"/>
      <c r="AK94" s="6"/>
      <c r="AL94" s="6"/>
      <c r="AM94" s="6"/>
      <c r="AN94" s="30"/>
      <c r="AO94" s="6"/>
      <c r="AP94" s="31"/>
      <c r="AQ94" s="6"/>
      <c r="AR94" s="6"/>
      <c r="AS94" s="6"/>
      <c r="AT94" s="6"/>
      <c r="AU94" s="6"/>
      <c r="AV94" s="6"/>
      <c r="AW94" s="6"/>
      <c r="AX94" s="6"/>
      <c r="AY94" s="6"/>
    </row>
    <row r="95" spans="1:51" hidden="1" x14ac:dyDescent="0.25">
      <c r="A95" s="6"/>
      <c r="B95" s="10"/>
      <c r="C95" s="10"/>
      <c r="D95" s="10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30"/>
      <c r="AB95" s="6"/>
      <c r="AC95" s="6"/>
      <c r="AD95" s="6"/>
      <c r="AE95" s="6"/>
      <c r="AF95" s="7"/>
      <c r="AG95" s="6"/>
      <c r="AH95" s="6"/>
      <c r="AI95" s="6"/>
      <c r="AJ95" s="8"/>
      <c r="AK95" s="6"/>
      <c r="AL95" s="6"/>
      <c r="AM95" s="6"/>
      <c r="AN95" s="30"/>
      <c r="AO95" s="6"/>
      <c r="AP95" s="31"/>
      <c r="AQ95" s="6"/>
      <c r="AR95" s="6"/>
      <c r="AS95" s="6"/>
      <c r="AT95" s="6"/>
      <c r="AU95" s="6"/>
      <c r="AV95" s="6"/>
      <c r="AW95" s="6"/>
      <c r="AX95" s="6"/>
      <c r="AY95" s="6"/>
    </row>
    <row r="96" spans="1:51" hidden="1" x14ac:dyDescent="0.25">
      <c r="A96" s="6"/>
      <c r="B96" s="10"/>
      <c r="C96" s="10"/>
      <c r="D96" s="10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30"/>
      <c r="AB96" s="6"/>
      <c r="AC96" s="6"/>
      <c r="AD96" s="6"/>
      <c r="AE96" s="6"/>
      <c r="AF96" s="7"/>
      <c r="AG96" s="6"/>
      <c r="AH96" s="6"/>
      <c r="AI96" s="6"/>
      <c r="AJ96" s="8"/>
      <c r="AK96" s="6"/>
      <c r="AL96" s="6"/>
      <c r="AM96" s="6"/>
      <c r="AN96" s="30"/>
      <c r="AO96" s="6"/>
      <c r="AP96" s="31"/>
      <c r="AQ96" s="6"/>
      <c r="AR96" s="6"/>
      <c r="AS96" s="6"/>
      <c r="AT96" s="6"/>
      <c r="AU96" s="6"/>
      <c r="AV96" s="6"/>
      <c r="AW96" s="6"/>
      <c r="AX96" s="6"/>
      <c r="AY96" s="6"/>
    </row>
    <row r="97" spans="1:51" hidden="1" x14ac:dyDescent="0.25">
      <c r="A97" s="6"/>
      <c r="B97" s="10"/>
      <c r="C97" s="10"/>
      <c r="D97" s="10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30"/>
      <c r="AB97" s="6"/>
      <c r="AC97" s="6"/>
      <c r="AD97" s="6"/>
      <c r="AE97" s="6"/>
      <c r="AF97" s="7"/>
      <c r="AG97" s="6"/>
      <c r="AH97" s="6"/>
      <c r="AI97" s="6"/>
      <c r="AJ97" s="8"/>
      <c r="AK97" s="6"/>
      <c r="AL97" s="6"/>
      <c r="AM97" s="6"/>
      <c r="AN97" s="30"/>
      <c r="AO97" s="6"/>
      <c r="AP97" s="31"/>
      <c r="AQ97" s="6"/>
      <c r="AR97" s="6"/>
      <c r="AS97" s="6"/>
      <c r="AT97" s="6"/>
      <c r="AU97" s="6"/>
      <c r="AV97" s="6"/>
      <c r="AW97" s="6"/>
      <c r="AX97" s="6"/>
      <c r="AY97" s="6"/>
    </row>
    <row r="98" spans="1:51" hidden="1" x14ac:dyDescent="0.25">
      <c r="A98" s="6"/>
      <c r="B98" s="10"/>
      <c r="C98" s="10"/>
      <c r="D98" s="10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30"/>
      <c r="AB98" s="6"/>
      <c r="AC98" s="6"/>
      <c r="AD98" s="6"/>
      <c r="AE98" s="6"/>
      <c r="AF98" s="7"/>
      <c r="AG98" s="6"/>
      <c r="AH98" s="6"/>
      <c r="AI98" s="6"/>
      <c r="AJ98" s="8"/>
      <c r="AK98" s="6"/>
      <c r="AL98" s="6"/>
      <c r="AM98" s="6"/>
      <c r="AN98" s="30"/>
      <c r="AO98" s="6"/>
      <c r="AP98" s="31"/>
      <c r="AQ98" s="6"/>
      <c r="AR98" s="6"/>
      <c r="AS98" s="6"/>
      <c r="AT98" s="6"/>
      <c r="AU98" s="6"/>
      <c r="AV98" s="6"/>
      <c r="AW98" s="6"/>
      <c r="AX98" s="6"/>
      <c r="AY98" s="6"/>
    </row>
    <row r="99" spans="1:51" hidden="1" x14ac:dyDescent="0.25">
      <c r="A99" s="6"/>
      <c r="B99" s="10"/>
      <c r="C99" s="10"/>
      <c r="D99" s="10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30"/>
      <c r="AB99" s="6"/>
      <c r="AC99" s="6"/>
      <c r="AD99" s="6"/>
      <c r="AE99" s="6"/>
      <c r="AF99" s="7"/>
      <c r="AG99" s="6"/>
      <c r="AH99" s="6"/>
      <c r="AI99" s="6"/>
      <c r="AJ99" s="8"/>
      <c r="AK99" s="6"/>
      <c r="AL99" s="6"/>
      <c r="AM99" s="6"/>
      <c r="AN99" s="30"/>
      <c r="AO99" s="6"/>
      <c r="AP99" s="31"/>
      <c r="AQ99" s="6"/>
      <c r="AR99" s="6"/>
      <c r="AS99" s="6"/>
      <c r="AT99" s="6"/>
      <c r="AU99" s="6"/>
      <c r="AV99" s="6"/>
      <c r="AW99" s="6"/>
      <c r="AX99" s="6"/>
      <c r="AY99" s="6"/>
    </row>
    <row r="100" spans="1:51" hidden="1" x14ac:dyDescent="0.25">
      <c r="A100" s="6"/>
      <c r="B100" s="10"/>
      <c r="C100" s="10"/>
      <c r="D100" s="10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30"/>
      <c r="AB100" s="6"/>
      <c r="AC100" s="6"/>
      <c r="AD100" s="6"/>
      <c r="AE100" s="6"/>
      <c r="AF100" s="7"/>
      <c r="AG100" s="6"/>
      <c r="AH100" s="6"/>
      <c r="AI100" s="6"/>
      <c r="AJ100" s="8"/>
      <c r="AK100" s="6"/>
      <c r="AL100" s="6"/>
      <c r="AM100" s="6"/>
      <c r="AN100" s="30"/>
      <c r="AO100" s="6"/>
      <c r="AP100" s="31"/>
      <c r="AQ100" s="6"/>
      <c r="AR100" s="6"/>
      <c r="AS100" s="6"/>
      <c r="AT100" s="6"/>
      <c r="AU100" s="6"/>
      <c r="AV100" s="6"/>
      <c r="AW100" s="6"/>
      <c r="AX100" s="6"/>
      <c r="AY100" s="6"/>
    </row>
    <row r="101" spans="1:51" hidden="1" x14ac:dyDescent="0.25">
      <c r="A101" s="6"/>
      <c r="B101" s="10"/>
      <c r="C101" s="10"/>
      <c r="D101" s="10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30"/>
      <c r="AB101" s="6"/>
      <c r="AC101" s="6"/>
      <c r="AD101" s="6"/>
      <c r="AE101" s="6"/>
      <c r="AF101" s="7"/>
      <c r="AG101" s="6"/>
      <c r="AH101" s="6"/>
      <c r="AI101" s="6"/>
      <c r="AJ101" s="8"/>
      <c r="AK101" s="6"/>
      <c r="AL101" s="6"/>
      <c r="AM101" s="6"/>
      <c r="AN101" s="30"/>
      <c r="AO101" s="6"/>
      <c r="AP101" s="31"/>
      <c r="AQ101" s="6"/>
      <c r="AR101" s="6"/>
      <c r="AS101" s="6"/>
      <c r="AT101" s="6"/>
      <c r="AU101" s="6"/>
      <c r="AV101" s="6"/>
      <c r="AW101" s="6"/>
      <c r="AX101" s="6"/>
      <c r="AY101" s="6"/>
    </row>
    <row r="102" spans="1:51" x14ac:dyDescent="0.25">
      <c r="A102" s="60"/>
      <c r="B102" s="60"/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60"/>
      <c r="AF102" s="7"/>
      <c r="AG102" s="60"/>
      <c r="AH102" s="60"/>
      <c r="AI102" s="60"/>
      <c r="AJ102" s="8"/>
      <c r="AK102" s="60"/>
      <c r="AL102" s="60"/>
      <c r="AM102" s="60"/>
      <c r="AN102" s="30"/>
      <c r="AO102" s="60"/>
      <c r="AP102" s="31"/>
      <c r="AQ102" s="60"/>
      <c r="AR102" s="60"/>
      <c r="AS102" s="60"/>
      <c r="AT102" s="60"/>
      <c r="AU102" s="60"/>
      <c r="AV102" s="60"/>
      <c r="AW102" s="60"/>
      <c r="AX102" s="60"/>
      <c r="AY102" s="60"/>
    </row>
    <row r="103" spans="1:51" x14ac:dyDescent="0.25">
      <c r="B103" s="72"/>
      <c r="C103" s="72"/>
      <c r="D103" s="72"/>
      <c r="E103" s="65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  <c r="AA103" s="65"/>
      <c r="AB103" s="72"/>
      <c r="AC103" s="72"/>
      <c r="AD103" s="72"/>
      <c r="AE103" s="72"/>
      <c r="AF103" s="65"/>
      <c r="AG103" s="72"/>
      <c r="AH103" s="72"/>
      <c r="AI103" s="72"/>
      <c r="AJ103" s="65"/>
      <c r="AK103" s="58"/>
      <c r="AL103" s="75"/>
      <c r="AM103" s="75"/>
      <c r="AN103" s="75"/>
      <c r="AO103" s="75"/>
      <c r="AP103" s="75"/>
      <c r="AQ103" s="75"/>
      <c r="AR103" s="75"/>
      <c r="AS103" s="75"/>
      <c r="AT103" s="75"/>
      <c r="AU103" s="75"/>
      <c r="AV103" s="75"/>
      <c r="AW103" s="61"/>
      <c r="AX103" s="61"/>
      <c r="AY103" s="61"/>
    </row>
    <row r="104" spans="1:51" x14ac:dyDescent="0.25">
      <c r="AA104" s="72"/>
      <c r="AF104" s="72"/>
      <c r="AJ104" s="72"/>
      <c r="AK104" s="72"/>
      <c r="AN104" s="65"/>
      <c r="AO104" s="61"/>
    </row>
    <row r="105" spans="1:51" ht="66" x14ac:dyDescent="0.25">
      <c r="AA105" s="49" t="s">
        <v>175</v>
      </c>
      <c r="AC105"/>
      <c r="AD105"/>
      <c r="AE105" s="64"/>
      <c r="AF105" s="49" t="s">
        <v>175</v>
      </c>
      <c r="AG105"/>
      <c r="AH105" s="63"/>
      <c r="AJ105" s="49" t="s">
        <v>175</v>
      </c>
      <c r="AK105" s="49" t="s">
        <v>142</v>
      </c>
      <c r="AN105" s="49" t="s">
        <v>142</v>
      </c>
      <c r="AO105" s="49" t="s">
        <v>142</v>
      </c>
    </row>
    <row r="106" spans="1:51" x14ac:dyDescent="0.25">
      <c r="AC106"/>
      <c r="AD106"/>
      <c r="AE106"/>
      <c r="AG106"/>
      <c r="AH106"/>
    </row>
    <row r="107" spans="1:51" ht="56.25" x14ac:dyDescent="0.25">
      <c r="AC107"/>
      <c r="AD107"/>
      <c r="AE107"/>
      <c r="AG107"/>
      <c r="AH107"/>
      <c r="AL107"/>
      <c r="AN107" s="49" t="s">
        <v>175</v>
      </c>
    </row>
    <row r="108" spans="1:51" x14ac:dyDescent="0.25">
      <c r="H108"/>
      <c r="I108"/>
      <c r="J108"/>
      <c r="K108"/>
      <c r="L108"/>
      <c r="M108"/>
      <c r="N108"/>
      <c r="O108"/>
      <c r="P108"/>
      <c r="Q108"/>
      <c r="R108"/>
      <c r="S108"/>
      <c r="T108"/>
      <c r="AC108"/>
      <c r="AD108"/>
      <c r="AE108"/>
      <c r="AG108"/>
      <c r="AH108"/>
      <c r="AL108"/>
      <c r="AM108"/>
      <c r="AN108"/>
      <c r="AO108"/>
      <c r="AP108"/>
    </row>
    <row r="109" spans="1:51" x14ac:dyDescent="0.25">
      <c r="H109"/>
      <c r="I109"/>
      <c r="J109"/>
      <c r="K109"/>
      <c r="L109"/>
      <c r="M109"/>
      <c r="N109"/>
      <c r="O109"/>
      <c r="P109"/>
      <c r="Q109"/>
      <c r="R109"/>
      <c r="S109"/>
      <c r="T109"/>
      <c r="AC109"/>
      <c r="AD109"/>
      <c r="AE109"/>
      <c r="AG109"/>
      <c r="AH109"/>
      <c r="AL109"/>
      <c r="AM109"/>
      <c r="AN109"/>
      <c r="AO109"/>
      <c r="AP109"/>
    </row>
    <row r="110" spans="1:51" x14ac:dyDescent="0.25">
      <c r="A110" s="6">
        <v>1</v>
      </c>
      <c r="B110" s="10" t="s">
        <v>85</v>
      </c>
      <c r="C110" s="10" t="s">
        <v>29</v>
      </c>
      <c r="D110" s="10" t="s">
        <v>177</v>
      </c>
      <c r="E110" s="6"/>
      <c r="F110" s="6" t="s">
        <v>30</v>
      </c>
      <c r="G110" s="6" t="s">
        <v>31</v>
      </c>
      <c r="H110" s="6" t="s">
        <v>32</v>
      </c>
      <c r="I110" s="6" t="s">
        <v>32</v>
      </c>
      <c r="J110" s="6" t="s">
        <v>32</v>
      </c>
      <c r="K110" s="73" t="s">
        <v>33</v>
      </c>
      <c r="L110" s="73" t="s">
        <v>33</v>
      </c>
      <c r="M110" s="6" t="s">
        <v>31</v>
      </c>
      <c r="N110" s="6" t="s">
        <v>34</v>
      </c>
      <c r="O110" s="6" t="s">
        <v>33</v>
      </c>
      <c r="P110" s="6"/>
      <c r="Q110" s="6" t="s">
        <v>35</v>
      </c>
      <c r="R110" s="6" t="s">
        <v>35</v>
      </c>
      <c r="S110" s="73" t="s">
        <v>32</v>
      </c>
      <c r="T110" s="73" t="s">
        <v>33</v>
      </c>
      <c r="U110" s="28">
        <f>DADOS!C111</f>
        <v>0</v>
      </c>
      <c r="V110" s="28">
        <f>DADOS!C112</f>
        <v>0</v>
      </c>
      <c r="W110" s="6" t="s">
        <v>32</v>
      </c>
      <c r="X110" s="6" t="s">
        <v>32</v>
      </c>
      <c r="Y110" s="6" t="s">
        <v>32</v>
      </c>
      <c r="Z110" s="6" t="s">
        <v>33</v>
      </c>
      <c r="AA110" s="30"/>
      <c r="AB110" s="6" t="s">
        <v>33</v>
      </c>
      <c r="AC110" s="6" t="s">
        <v>36</v>
      </c>
      <c r="AD110" s="6" t="s">
        <v>37</v>
      </c>
      <c r="AE110" s="8"/>
      <c r="AF110" s="7">
        <v>1.5</v>
      </c>
      <c r="AG110" s="6" t="s">
        <v>38</v>
      </c>
      <c r="AH110" s="6"/>
      <c r="AI110" s="6"/>
      <c r="AJ110" s="8">
        <v>0</v>
      </c>
      <c r="AK110" s="6" t="s">
        <v>32</v>
      </c>
      <c r="AL110" s="6" t="s">
        <v>31</v>
      </c>
      <c r="AM110" s="6" t="s">
        <v>36</v>
      </c>
      <c r="AN110" s="30">
        <v>0</v>
      </c>
      <c r="AO110" s="6" t="s">
        <v>33</v>
      </c>
      <c r="AP110" s="8"/>
      <c r="AQ110" s="6"/>
      <c r="AR110" s="6" t="s">
        <v>32</v>
      </c>
      <c r="AS110" s="6" t="s">
        <v>32</v>
      </c>
      <c r="AT110" s="6" t="s">
        <v>32</v>
      </c>
      <c r="AU110" s="6" t="s">
        <v>32</v>
      </c>
      <c r="AV110" s="6" t="s">
        <v>32</v>
      </c>
      <c r="AW110" s="6"/>
      <c r="AX110" s="6"/>
      <c r="AY110" s="6"/>
    </row>
    <row r="111" spans="1:51" x14ac:dyDescent="0.25">
      <c r="AG111"/>
      <c r="AH111"/>
      <c r="AL111"/>
      <c r="AM111"/>
      <c r="AN111"/>
      <c r="AO111"/>
      <c r="AP111"/>
    </row>
    <row r="112" spans="1:51" x14ac:dyDescent="0.25">
      <c r="AG112"/>
      <c r="AH112"/>
      <c r="AL112"/>
    </row>
  </sheetData>
  <dataValidations count="17">
    <dataValidation type="list" allowBlank="1" showInputMessage="1" showErrorMessage="1" sqref="AX2:AX101 AX110" xr:uid="{A32DBB52-E045-4246-8154-51A7D5275E3F}">
      <formula1>"PA,AC,DM,DV"</formula1>
    </dataValidation>
    <dataValidation type="list" allowBlank="1" showInputMessage="1" showErrorMessage="1" sqref="AW2:AW101 AW110" xr:uid="{6D10C130-ED79-40A7-A579-0AD09048BC9E}">
      <formula1>"VM,MA,MC,MQ"</formula1>
    </dataValidation>
    <dataValidation type="list" allowBlank="1" showInputMessage="1" showErrorMessage="1" sqref="AG2:AG101 AG110" xr:uid="{D96E78FA-0D8C-44C9-AB6A-20B8343BAD9F}">
      <formula1>"IN,ICL,ICP,AV"</formula1>
    </dataValidation>
    <dataValidation type="list" allowBlank="1" showInputMessage="1" showErrorMessage="1" sqref="AH110 AH3:AH101" xr:uid="{3D0F6513-240A-46FF-929B-6FA4F4789451}">
      <formula1>"IN,ICL,ICP"</formula1>
    </dataValidation>
    <dataValidation type="list" allowBlank="1" showInputMessage="1" showErrorMessage="1" sqref="AD2:AD101 AD110" xr:uid="{627724DD-700C-4D3E-9DA0-BEE82063BEE4}">
      <formula1>"IN,CH,DU,ICP"</formula1>
    </dataValidation>
    <dataValidation type="list" allowBlank="1" showInputMessage="1" showErrorMessage="1" sqref="AC2:AC101 AM2:AM101 AC110 AM110" xr:uid="{F13AC26C-E031-4C5B-95E6-CAB851C54DB6}">
      <formula1>"MR,HS,SM,PS,VT"</formula1>
    </dataValidation>
    <dataValidation type="list" allowBlank="1" showInputMessage="1" showErrorMessage="1" sqref="Q2:R101 Q110:R110" xr:uid="{3068AC2A-CFCD-4D89-96D3-4D0752094BEA}">
      <formula1>"DV,DF"</formula1>
    </dataValidation>
    <dataValidation type="list" allowBlank="1" showInputMessage="1" showErrorMessage="1" sqref="AY2:AY101 AY110" xr:uid="{AF7D0E06-CBA5-40CE-8536-B0A0294075E4}">
      <formula1>"M,I,D,DMQ"</formula1>
    </dataValidation>
    <dataValidation type="list" allowBlank="1" showInputMessage="1" showErrorMessage="1" sqref="AH110 AH3:AH101" xr:uid="{BEACF704-41C6-487F-AA72-4C1BDC523B93}">
      <formula1>"R,F,RF,DU"</formula1>
    </dataValidation>
    <dataValidation type="list" allowBlank="1" showInputMessage="1" showErrorMessage="1" sqref="AI2:AI101 AI110" xr:uid="{3771826A-5CE0-467B-88D7-E81CB104F176}">
      <formula1>"HED,HEN,HEDN,HN,R,F,RF,ITRA,ITER"</formula1>
    </dataValidation>
    <dataValidation type="list" allowBlank="1" showInputMessage="1" showErrorMessage="1" sqref="M2:M101 M110" xr:uid="{40531FBF-96EC-4C86-9C8D-C61276B84E63}">
      <formula1>"AP,DT,F,C"</formula1>
    </dataValidation>
    <dataValidation type="list" allowBlank="1" showInputMessage="1" showErrorMessage="1" sqref="P2:P101 P110" xr:uid="{B83B16B9-722E-487B-82DA-B948CFEEA186}">
      <formula1>"P,R"</formula1>
    </dataValidation>
    <dataValidation type="list" allowBlank="1" showInputMessage="1" showErrorMessage="1" sqref="AO2:AO101 AB2:AB101 O2:O101 S2:T101 M7:M101 W2:Z101 AK2:AK101 H2:L101 AR2:AV101 H110:L110 AR110:AV110 AO110 AB110 O110 W110:Z110 AK110 S110:T110" xr:uid="{707D598F-9089-4733-81FD-8A947F285A99}">
      <formula1>"S,N"</formula1>
    </dataValidation>
    <dataValidation type="list" allowBlank="1" showInputMessage="1" showErrorMessage="1" sqref="G2:G101 AL2:AL101 AL110" xr:uid="{98D72145-4825-40EE-AD72-46371D814795}">
      <formula1>"C,I"</formula1>
    </dataValidation>
    <dataValidation type="list" allowBlank="1" showInputMessage="1" showErrorMessage="1" sqref="N2:N101 N110" xr:uid="{88260A06-C47B-460B-9850-CA2935D94ED8}">
      <formula1>"M,DL,DZ,PA"</formula1>
    </dataValidation>
    <dataValidation type="list" allowBlank="1" showInputMessage="1" showErrorMessage="1" sqref="F2:F101 F110" xr:uid="{D731F864-DAA0-4A29-87A4-06ABAD59C0F4}">
      <formula1>"V,F"</formula1>
    </dataValidation>
    <dataValidation type="list" allowBlank="1" showInputMessage="1" showErrorMessage="1" sqref="AH2" xr:uid="{E53E3200-710B-4425-811A-F5C1A82E10CF}">
      <formula1>"RF,R,F,DU"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TBVERBA</vt:lpstr>
      <vt:lpstr>TBVERBAAJUSTE</vt:lpstr>
      <vt:lpstr>TBVERBACALCULO</vt:lpstr>
      <vt:lpstr>TBBASEHISTORICO</vt:lpstr>
      <vt:lpstr>TBBASEVERBA</vt:lpstr>
      <vt:lpstr>TBBASEDEDUCAO</vt:lpstr>
      <vt:lpstr>DADOS</vt:lpstr>
      <vt:lpstr>BASECALCULO</vt:lpstr>
      <vt:lpstr>BASECALCULOVALORPAGO</vt:lpstr>
      <vt:lpstr>TBNOMENCLATURA</vt:lpstr>
      <vt:lpstr>MySQL</vt:lpstr>
      <vt:lpstr>TBVERBABD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Fonseca</dc:creator>
  <cp:lastModifiedBy>Lucas Fonseca</cp:lastModifiedBy>
  <dcterms:created xsi:type="dcterms:W3CDTF">2023-02-02T22:37:18Z</dcterms:created>
  <dcterms:modified xsi:type="dcterms:W3CDTF">2023-02-16T13:18:22Z</dcterms:modified>
</cp:coreProperties>
</file>